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kkuvõte" sheetId="1" state="visible" r:id="rId1"/>
    <sheet name="Tulud" sheetId="2" state="visible" r:id="rId2"/>
    <sheet name="Kulud" sheetId="3" state="visible" r:id="rId3"/>
    <sheet name="Kasumiaruanne" sheetId="4" state="visible" r:id="rId4"/>
    <sheet name="5a arenguplaan" sheetId="5" state="visible" r:id="rId5"/>
    <sheet name="Puukoolid" sheetId="6" state="visible" r:id="rId6"/>
    <sheet name="Growshop mudel" sheetId="7" state="visible" r:id="rId7"/>
    <sheet name="Liisingumudel" sheetId="8" state="visible" r:id="rId8"/>
    <sheet name="Töökohad" sheetId="9" state="visible" r:id="rId9"/>
    <sheet name="Brüssel" sheetId="10" state="visible" r:id="rId10"/>
    <sheet name="Olemasolevad vahendid" sheetId="11" state="visible" r:id="rId11"/>
    <sheet name="Koolid ja loodus" sheetId="12" state="visible" r:id="rId12"/>
    <sheet name="Finantsstrateeg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B5E20"/>
      <sz val="14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388E3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8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 ht="28" customHeight="1">
      <c r="A1" s="1" t="inlineStr">
        <is>
          <t>🇪🇪 EESTI KANEPIMAJANDUS 2030 — RIIGI ETTEVÕTTE MUDEL</t>
        </is>
      </c>
    </row>
    <row r="3">
      <c r="A3" s="2" t="inlineStr"/>
      <c r="B3" s="2" t="inlineStr">
        <is>
          <t>Aasta 1</t>
        </is>
      </c>
      <c r="C3" s="2" t="inlineStr">
        <is>
          <t>Aasta 2</t>
        </is>
      </c>
      <c r="D3" s="2" t="inlineStr">
        <is>
          <t>Aasta 3</t>
        </is>
      </c>
      <c r="E3" s="2" t="inlineStr">
        <is>
          <t>Aasta 4</t>
        </is>
      </c>
      <c r="F3" s="2" t="inlineStr">
        <is>
          <t>Aasta 5</t>
        </is>
      </c>
      <c r="G3" s="2" t="inlineStr">
        <is>
          <t>5a KOKKU</t>
        </is>
      </c>
      <c r="H3" s="2" t="inlineStr">
        <is>
          <t>Märkus</t>
        </is>
      </c>
    </row>
    <row r="4">
      <c r="A4" s="3" t="inlineStr">
        <is>
          <t>TULUD kokku (€)</t>
        </is>
      </c>
      <c r="B4" s="4" t="n">
        <v>1200000</v>
      </c>
      <c r="C4" s="4" t="n">
        <v>4500000</v>
      </c>
      <c r="D4" s="4" t="n">
        <v>12000000</v>
      </c>
      <c r="E4" s="4" t="n">
        <v>22000000</v>
      </c>
      <c r="F4" s="4" t="n">
        <v>35000000</v>
      </c>
      <c r="G4" s="4">
        <f>SUM(B3:F3)</f>
        <v/>
      </c>
      <c r="H4" s="3" t="inlineStr">
        <is>
          <t>Riigiettevõte + partnerid</t>
        </is>
      </c>
    </row>
    <row r="5">
      <c r="A5" s="5" t="inlineStr">
        <is>
          <t>KULUD kokku (€)</t>
        </is>
      </c>
      <c r="B5" s="6" t="n">
        <v>2800000</v>
      </c>
      <c r="C5" s="6" t="n">
        <v>3600000</v>
      </c>
      <c r="D5" s="6" t="n">
        <v>6500000</v>
      </c>
      <c r="E5" s="6" t="n">
        <v>9000000</v>
      </c>
      <c r="F5" s="6" t="n">
        <v>12000000</v>
      </c>
      <c r="G5" s="6">
        <f>SUM(B4:F4)</f>
        <v/>
      </c>
      <c r="H5" s="5" t="inlineStr">
        <is>
          <t>Sh toetused, liising, palgad</t>
        </is>
      </c>
    </row>
    <row r="6">
      <c r="A6" s="3" t="inlineStr">
        <is>
          <t>NETOKASUM (€)</t>
        </is>
      </c>
      <c r="B6" s="4">
        <f>B3-B4</f>
        <v/>
      </c>
      <c r="C6" s="4">
        <f>C3-C4</f>
        <v/>
      </c>
      <c r="D6" s="4">
        <f>D3-D4</f>
        <v/>
      </c>
      <c r="E6" s="4">
        <f>E3-E4</f>
        <v/>
      </c>
      <c r="F6" s="4">
        <f>F3-F4</f>
        <v/>
      </c>
      <c r="G6" s="4">
        <f>SUM(B5:F5)</f>
        <v/>
      </c>
      <c r="H6" s="3" t="inlineStr">
        <is>
          <t>Enne fondi jaotust</t>
        </is>
      </c>
    </row>
    <row r="7">
      <c r="A7" s="5" t="inlineStr">
        <is>
          <t>Riigikassasse (€)</t>
        </is>
      </c>
      <c r="B7" s="6" t="n">
        <v>0</v>
      </c>
      <c r="C7" s="6" t="n">
        <v>350000</v>
      </c>
      <c r="D7" s="6" t="n">
        <v>1800000</v>
      </c>
      <c r="E7" s="6" t="n">
        <v>4200000</v>
      </c>
      <c r="F7" s="6" t="n">
        <v>7500000</v>
      </c>
      <c r="G7" s="6">
        <f>SUM(B6:F6)</f>
        <v/>
      </c>
      <c r="H7" s="5" t="inlineStr">
        <is>
          <t>Maksud + dividendid</t>
        </is>
      </c>
    </row>
    <row r="8">
      <c r="A8" s="3" t="inlineStr">
        <is>
          <t>Uued töökohad</t>
        </is>
      </c>
      <c r="B8" s="4" t="n">
        <v>45</v>
      </c>
      <c r="C8" s="4" t="n">
        <v>120</v>
      </c>
      <c r="D8" s="4" t="n">
        <v>280</v>
      </c>
      <c r="E8" s="4" t="n">
        <v>450</v>
      </c>
      <c r="F8" s="4" t="n">
        <v>650</v>
      </c>
      <c r="G8" s="4">
        <f>SUM(B7:F7)</f>
        <v/>
      </c>
      <c r="H8" s="3" t="inlineStr">
        <is>
          <t>Otsetöökohti</t>
        </is>
      </c>
    </row>
    <row r="9">
      <c r="A9" s="5" t="inlineStr">
        <is>
          <t>Puukoolid partnerid</t>
        </is>
      </c>
      <c r="B9" s="6" t="n">
        <v>3</v>
      </c>
      <c r="C9" s="6" t="n">
        <v>8</v>
      </c>
      <c r="D9" s="6" t="n">
        <v>15</v>
      </c>
      <c r="E9" s="6" t="n">
        <v>22</v>
      </c>
      <c r="F9" s="6" t="n">
        <v>30</v>
      </c>
      <c r="G9" s="6">
        <f>SUM(B8:F8)</f>
        <v/>
      </c>
      <c r="H9" s="5" t="inlineStr">
        <is>
          <t>Toetust saavad</t>
        </is>
      </c>
    </row>
    <row r="10">
      <c r="A10" s="3" t="inlineStr">
        <is>
          <t>Liisingumasinad (tk)</t>
        </is>
      </c>
      <c r="B10" s="3" t="n">
        <v>4</v>
      </c>
      <c r="C10" s="3" t="n">
        <v>12</v>
      </c>
      <c r="D10" s="3" t="n">
        <v>28</v>
      </c>
      <c r="E10" s="3" t="n">
        <v>45</v>
      </c>
      <c r="F10" s="3" t="n">
        <v>60</v>
      </c>
      <c r="G10" s="3">
        <f>SUM(B9:F9)</f>
        <v/>
      </c>
      <c r="H10" s="3" t="inlineStr">
        <is>
          <t>Kliendi maksab kinni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t="inlineStr">
        <is>
          <t>ETTEVÕTE</t>
        </is>
      </c>
      <c r="B12" t="inlineStr">
        <is>
          <t>Eesti Roheline Majandus AS (ERMA)</t>
        </is>
      </c>
      <c r="C12" t="inlineStr"/>
      <c r="D12" t="inlineStr"/>
      <c r="E12" t="inlineStr"/>
      <c r="F12" t="inlineStr"/>
      <c r="G12" t="inlineStr"/>
      <c r="H12" t="inlineStr">
        <is>
          <t>Riigi 51% + kasvatajate kooperatiiv 49%</t>
        </is>
      </c>
    </row>
    <row r="13">
      <c r="A13" t="inlineStr">
        <is>
          <t>MUDEL</t>
        </is>
      </c>
      <c r="B13" t="inlineStr">
        <is>
          <t>Vaba kassa pärast liisingu lõppu</t>
        </is>
      </c>
      <c r="C13" t="inlineStr"/>
      <c r="D13" t="inlineStr"/>
      <c r="E13" t="inlineStr"/>
      <c r="F13" t="inlineStr"/>
      <c r="G13" t="inlineStr"/>
      <c r="H13" t="inlineStr">
        <is>
          <t>Masinad → riigi/vara, kasum reinvesteeritakse</t>
        </is>
      </c>
    </row>
    <row r="14">
      <c r="A14" t="inlineStr">
        <is>
          <t>BRÜSSELL</t>
        </is>
      </c>
      <c r="B14" t="inlineStr">
        <is>
          <t>Tööstuskanep + siseriiklik reguleerimine</t>
        </is>
      </c>
      <c r="C14" t="inlineStr"/>
      <c r="D14" t="inlineStr"/>
      <c r="E14" t="inlineStr"/>
      <c r="F14" t="inlineStr"/>
      <c r="G14" t="inlineStr"/>
      <c r="H14" t="inlineStr">
        <is>
          <t>Saksamaa mudel, CAP, Roheline kokkulepe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28" customHeight="1">
      <c r="A1" s="1" t="inlineStr">
        <is>
          <t>TULUD — tuluvoogude detail (€/aasta)</t>
        </is>
      </c>
    </row>
    <row r="3">
      <c r="A3" s="2" t="inlineStr">
        <is>
          <t>Tuluvoog</t>
        </is>
      </c>
      <c r="B3" s="2" t="inlineStr">
        <is>
          <t>A1</t>
        </is>
      </c>
      <c r="C3" s="2" t="inlineStr">
        <is>
          <t>A2</t>
        </is>
      </c>
      <c r="D3" s="2" t="inlineStr">
        <is>
          <t>A3</t>
        </is>
      </c>
      <c r="E3" s="2" t="inlineStr">
        <is>
          <t>A4</t>
        </is>
      </c>
      <c r="F3" s="2" t="inlineStr">
        <is>
          <t>A5</t>
        </is>
      </c>
      <c r="G3" s="2" t="inlineStr">
        <is>
          <t>Kirjeldus</t>
        </is>
      </c>
    </row>
    <row r="4">
      <c r="A4" s="3" t="inlineStr">
        <is>
          <t>Tööstuskanep — kiud ja seemned</t>
        </is>
      </c>
      <c r="B4" s="4" t="n">
        <v>400000</v>
      </c>
      <c r="C4" s="4" t="n">
        <v>1200000</v>
      </c>
      <c r="D4" s="4" t="n">
        <v>3000000</v>
      </c>
      <c r="E4" s="4" t="n">
        <v>4500000</v>
      </c>
      <c r="F4" s="4" t="n">
        <v>6000000</v>
      </c>
      <c r="G4" s="3" t="inlineStr">
        <is>
          <t>Eksport + kohalik tööstus</t>
        </is>
      </c>
    </row>
    <row r="5">
      <c r="A5" s="5" t="inlineStr">
        <is>
          <t>CBD kosmeetika (EL lubatud)</t>
        </is>
      </c>
      <c r="B5" s="6" t="n">
        <v>150000</v>
      </c>
      <c r="C5" s="6" t="n">
        <v>600000</v>
      </c>
      <c r="D5" s="6" t="n">
        <v>1500000</v>
      </c>
      <c r="E5" s="6" t="n">
        <v>2500000</v>
      </c>
      <c r="F5" s="6" t="n">
        <v>4000000</v>
      </c>
      <c r="G5" s="5" t="inlineStr">
        <is>
          <t>Kreemid, õlid, seebid</t>
        </is>
      </c>
    </row>
    <row r="6">
      <c r="A6" s="3" t="inlineStr">
        <is>
          <t>Riiklik growshop võrgustik</t>
        </is>
      </c>
      <c r="B6" s="4" t="n">
        <v>0</v>
      </c>
      <c r="C6" s="4" t="n">
        <v>800000</v>
      </c>
      <c r="D6" s="4" t="n">
        <v>2500000</v>
      </c>
      <c r="E6" s="4" t="n">
        <v>5000000</v>
      </c>
      <c r="F6" s="4" t="n">
        <v>8000000</v>
      </c>
      <c r="G6" s="3" t="inlineStr">
        <is>
          <t>Asendab välismaa poode</t>
        </is>
      </c>
    </row>
    <row r="7">
      <c r="A7" s="5" t="inlineStr">
        <is>
          <t>Reguleeritud täiskasvanute turg</t>
        </is>
      </c>
      <c r="B7" s="6" t="n">
        <v>0</v>
      </c>
      <c r="C7" s="6" t="n">
        <v>0</v>
      </c>
      <c r="D7" s="6" t="n">
        <v>1000000</v>
      </c>
      <c r="E7" s="6" t="n">
        <v>5000000</v>
      </c>
      <c r="F7" s="6" t="n">
        <v>10000000</v>
      </c>
      <c r="G7" s="5" t="inlineStr">
        <is>
          <t>Aasta 3 piloot, A4-A5 täismahus</t>
        </is>
      </c>
    </row>
    <row r="8">
      <c r="A8" s="3" t="inlineStr">
        <is>
          <t>Meditsiiniline kanep</t>
        </is>
      </c>
      <c r="B8" s="4" t="n">
        <v>100000</v>
      </c>
      <c r="C8" s="4" t="n">
        <v>400000</v>
      </c>
      <c r="D8" s="4" t="n">
        <v>1200000</v>
      </c>
      <c r="E8" s="4" t="n">
        <v>2000000</v>
      </c>
      <c r="F8" s="4" t="n">
        <v>3000000</v>
      </c>
      <c r="G8" s="3" t="inlineStr">
        <is>
          <t>Kohalik tootmine, haigekassa</t>
        </is>
      </c>
    </row>
    <row r="9">
      <c r="A9" s="5" t="inlineStr">
        <is>
          <t>Puukoolide seemikumüük</t>
        </is>
      </c>
      <c r="B9" s="6" t="n">
        <v>80000</v>
      </c>
      <c r="C9" s="6" t="n">
        <v>250000</v>
      </c>
      <c r="D9" s="6" t="n">
        <v>600000</v>
      </c>
      <c r="E9" s="6" t="n">
        <v>1000000</v>
      </c>
      <c r="F9" s="6" t="n">
        <v>1500000</v>
      </c>
      <c r="G9" s="5" t="inlineStr">
        <is>
          <t>Certified seedlings</t>
        </is>
      </c>
    </row>
    <row r="10">
      <c r="A10" s="3" t="inlineStr">
        <is>
          <t>Koolitus ja konsultatsioon</t>
        </is>
      </c>
      <c r="B10" s="4" t="n">
        <v>50000</v>
      </c>
      <c r="C10" s="4" t="n">
        <v>150000</v>
      </c>
      <c r="D10" s="4" t="n">
        <v>300000</v>
      </c>
      <c r="E10" s="4" t="n">
        <v>500000</v>
      </c>
      <c r="F10" s="4" t="n">
        <v>800000</v>
      </c>
      <c r="G10" s="3" t="inlineStr">
        <is>
          <t>EPM, kutsekoolid</t>
        </is>
      </c>
    </row>
    <row r="11">
      <c r="A11" s="5" t="inlineStr">
        <is>
          <t>Turism ja kogemuskeskused</t>
        </is>
      </c>
      <c r="B11" s="6" t="n">
        <v>20000</v>
      </c>
      <c r="C11" s="6" t="n">
        <v>100000</v>
      </c>
      <c r="D11" s="6" t="n">
        <v>400000</v>
      </c>
      <c r="E11" s="6" t="n">
        <v>1500000</v>
      </c>
      <c r="F11" s="6" t="n">
        <v>2700000</v>
      </c>
      <c r="G11" s="5" t="inlineStr">
        <is>
          <t>Farm visits, loodus</t>
        </is>
      </c>
    </row>
    <row r="12">
      <c r="A12" s="3" t="inlineStr">
        <is>
          <t>Liisingutasud (masinate tagasimaks)</t>
        </is>
      </c>
      <c r="B12" s="4" t="n">
        <v>400000</v>
      </c>
      <c r="C12" s="4" t="n">
        <v>1000000</v>
      </c>
      <c r="D12" s="4" t="n">
        <v>2000000</v>
      </c>
      <c r="E12" s="4" t="n">
        <v>3000000</v>
      </c>
      <c r="F12" s="4" t="n">
        <v>3500000</v>
      </c>
      <c r="G12" s="3" t="inlineStr">
        <is>
          <t>Klient maksab masina kinni</t>
        </is>
      </c>
    </row>
    <row r="13">
      <c r="A13" t="inlineStr">
        <is>
          <t>KOKKU</t>
        </is>
      </c>
      <c r="B13">
        <f>SUM(B2:B10)</f>
        <v/>
      </c>
      <c r="C13">
        <f>SUM(C2:C10)</f>
        <v/>
      </c>
      <c r="D13">
        <f>SUM(D2:D10)</f>
        <v/>
      </c>
      <c r="E13">
        <f>SUM(E2:E10)</f>
        <v/>
      </c>
      <c r="F13">
        <f>SUM(F2:F10)</f>
        <v/>
      </c>
      <c r="G1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28" customHeight="1">
      <c r="A1" s="1" t="inlineStr">
        <is>
          <t>KULUD — kulustruktuur (€/aasta)</t>
        </is>
      </c>
    </row>
    <row r="3">
      <c r="A3" s="2" t="inlineStr">
        <is>
          <t>Kulukategooria</t>
        </is>
      </c>
      <c r="B3" s="2" t="inlineStr">
        <is>
          <t>A1</t>
        </is>
      </c>
      <c r="C3" s="2" t="inlineStr">
        <is>
          <t>A2</t>
        </is>
      </c>
      <c r="D3" s="2" t="inlineStr">
        <is>
          <t>A3</t>
        </is>
      </c>
      <c r="E3" s="2" t="inlineStr">
        <is>
          <t>A4</t>
        </is>
      </c>
      <c r="F3" s="2" t="inlineStr">
        <is>
          <t>A5</t>
        </is>
      </c>
      <c r="G3" s="2" t="inlineStr">
        <is>
          <t>Kirjeldus</t>
        </is>
      </c>
    </row>
    <row r="4">
      <c r="A4" s="3" t="inlineStr">
        <is>
          <t>Töötajate palgad</t>
        </is>
      </c>
      <c r="B4" s="4" t="n">
        <v>900000</v>
      </c>
      <c r="C4" s="4" t="n">
        <v>1400000</v>
      </c>
      <c r="D4" s="4" t="n">
        <v>2500000</v>
      </c>
      <c r="E4" s="4" t="n">
        <v>3800000</v>
      </c>
      <c r="F4" s="4" t="n">
        <v>5200000</v>
      </c>
      <c r="G4" s="3" t="inlineStr">
        <is>
          <t>Keskmine 1800-2200 bruto</t>
        </is>
      </c>
    </row>
    <row r="5">
      <c r="A5" s="5" t="inlineStr">
        <is>
          <t>Liisingumaksed (masinad)</t>
        </is>
      </c>
      <c r="B5" s="6" t="n">
        <v>480000</v>
      </c>
      <c r="C5" s="6" t="n">
        <v>720000</v>
      </c>
      <c r="D5" s="6" t="n">
        <v>1200000</v>
      </c>
      <c r="E5" s="6" t="n">
        <v>1500000</v>
      </c>
      <c r="F5" s="6" t="n">
        <v>1200000</v>
      </c>
      <c r="G5" s="5" t="inlineStr">
        <is>
          <t>Väheneb kui masinad paid off</t>
        </is>
      </c>
    </row>
    <row r="6">
      <c r="A6" s="3" t="inlineStr">
        <is>
          <t>Toetused puukoolidele</t>
        </is>
      </c>
      <c r="B6" s="4" t="n">
        <v>300000</v>
      </c>
      <c r="C6" s="4" t="n">
        <v>450000</v>
      </c>
      <c r="D6" s="4" t="n">
        <v>600000</v>
      </c>
      <c r="E6" s="4" t="n">
        <v>500000</v>
      </c>
      <c r="F6" s="4" t="n">
        <v>400000</v>
      </c>
      <c r="G6" s="3" t="inlineStr">
        <is>
          <t>Seemik, sertifitseerimine</t>
        </is>
      </c>
    </row>
    <row r="7">
      <c r="A7" s="5" t="inlineStr">
        <is>
          <t>Toetused kasvatajatele</t>
        </is>
      </c>
      <c r="B7" s="6" t="n">
        <v>250000</v>
      </c>
      <c r="C7" s="6" t="n">
        <v>400000</v>
      </c>
      <c r="D7" s="6" t="n">
        <v>700000</v>
      </c>
      <c r="E7" s="6" t="n">
        <v>800000</v>
      </c>
      <c r="F7" s="6" t="n">
        <v>900000</v>
      </c>
      <c r="G7" s="5" t="inlineStr">
        <is>
          <t>Hektaripõhine boonus</t>
        </is>
      </c>
    </row>
    <row r="8">
      <c r="A8" s="3" t="inlineStr">
        <is>
          <t>Turustus ja growshopid</t>
        </is>
      </c>
      <c r="B8" s="4" t="n">
        <v>200000</v>
      </c>
      <c r="C8" s="4" t="n">
        <v>350000</v>
      </c>
      <c r="D8" s="4" t="n">
        <v>800000</v>
      </c>
      <c r="E8" s="4" t="n">
        <v>1200000</v>
      </c>
      <c r="F8" s="4" t="n">
        <v>1800000</v>
      </c>
      <c r="G8" s="3" t="inlineStr">
        <is>
          <t>Rendid, sisustus, IT</t>
        </is>
      </c>
    </row>
    <row r="9">
      <c r="A9" s="5" t="inlineStr">
        <is>
          <t>Uurimine ja kvaliteet</t>
        </is>
      </c>
      <c r="B9" s="6" t="n">
        <v>150000</v>
      </c>
      <c r="C9" s="6" t="n">
        <v>200000</v>
      </c>
      <c r="D9" s="6" t="n">
        <v>350000</v>
      </c>
      <c r="E9" s="6" t="n">
        <v>400000</v>
      </c>
      <c r="F9" s="6" t="n">
        <v>500000</v>
      </c>
      <c r="G9" s="5" t="inlineStr">
        <is>
          <t>Labor, sertifikaadid</t>
        </is>
      </c>
    </row>
    <row r="10">
      <c r="A10" s="3" t="inlineStr">
        <is>
          <t>Juriidika ja compliance</t>
        </is>
      </c>
      <c r="B10" s="4" t="n">
        <v>120000</v>
      </c>
      <c r="C10" s="4" t="n">
        <v>150000</v>
      </c>
      <c r="D10" s="4" t="n">
        <v>200000</v>
      </c>
      <c r="E10" s="4" t="n">
        <v>250000</v>
      </c>
      <c r="F10" s="4" t="n">
        <v>300000</v>
      </c>
      <c r="G10" s="3" t="inlineStr">
        <is>
          <t>EL reeglid, audit</t>
        </is>
      </c>
    </row>
    <row r="11">
      <c r="A11" s="5" t="inlineStr">
        <is>
          <t>Koolitusprogrammid</t>
        </is>
      </c>
      <c r="B11" s="6" t="n">
        <v>80000</v>
      </c>
      <c r="C11" s="6" t="n">
        <v>150000</v>
      </c>
      <c r="D11" s="6" t="n">
        <v>300000</v>
      </c>
      <c r="E11" s="6" t="n">
        <v>400000</v>
      </c>
      <c r="F11" s="6" t="n">
        <v>500000</v>
      </c>
      <c r="G11" s="5" t="inlineStr">
        <is>
          <t>Koolid, kutsekvalifikatsioon</t>
        </is>
      </c>
    </row>
    <row r="12">
      <c r="A12" s="3" t="inlineStr">
        <is>
          <t>Halduskulud</t>
        </is>
      </c>
      <c r="B12" s="4" t="n">
        <v>200000</v>
      </c>
      <c r="C12" s="4" t="n">
        <v>250000</v>
      </c>
      <c r="D12" s="4" t="n">
        <v>350000</v>
      </c>
      <c r="E12" s="4" t="n">
        <v>450000</v>
      </c>
      <c r="F12" s="4" t="n">
        <v>550000</v>
      </c>
      <c r="G12" s="3" t="inlineStr">
        <is>
          <t>IT, kontor, juhtimine</t>
        </is>
      </c>
    </row>
    <row r="13">
      <c r="A13" s="5" t="inlineStr">
        <is>
          <t>Investeeringud (capex)</t>
        </is>
      </c>
      <c r="B13" s="6" t="n">
        <v>220000</v>
      </c>
      <c r="C13" s="6" t="n">
        <v>430000</v>
      </c>
      <c r="D13" s="6" t="n">
        <v>500000</v>
      </c>
      <c r="E13" s="6" t="n">
        <v>800000</v>
      </c>
      <c r="F13" s="6" t="n">
        <v>650000</v>
      </c>
      <c r="G13" s="5" t="inlineStr">
        <is>
          <t>Päikesepargid, hooned</t>
        </is>
      </c>
    </row>
    <row r="14">
      <c r="A14" t="inlineStr">
        <is>
          <t>KOKKU</t>
        </is>
      </c>
      <c r="B14">
        <f>SUM(B2:B11)</f>
        <v/>
      </c>
      <c r="C14">
        <f>SUM(C2:C11)</f>
        <v/>
      </c>
      <c r="D14">
        <f>SUM(D2:D11)</f>
        <v/>
      </c>
      <c r="E14">
        <f>SUM(E2:E11)</f>
        <v/>
      </c>
      <c r="F14">
        <f>SUM(F2:F11)</f>
        <v/>
      </c>
      <c r="G1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1" t="inlineStr">
        <is>
          <t>KASUMIARUANNE (P&amp;L)</t>
        </is>
      </c>
    </row>
    <row r="3">
      <c r="A3" s="2" t="inlineStr"/>
      <c r="B3" s="2" t="inlineStr">
        <is>
          <t>A1</t>
        </is>
      </c>
      <c r="C3" s="2" t="inlineStr">
        <is>
          <t>A2</t>
        </is>
      </c>
      <c r="D3" s="2" t="inlineStr">
        <is>
          <t>A3</t>
        </is>
      </c>
      <c r="E3" s="2" t="inlineStr">
        <is>
          <t>A4</t>
        </is>
      </c>
      <c r="F3" s="2" t="inlineStr">
        <is>
          <t>A5</t>
        </is>
      </c>
      <c r="G3" t="inlineStr"/>
    </row>
    <row r="4">
      <c r="A4" s="3" t="inlineStr">
        <is>
          <t>Tulud kokku</t>
        </is>
      </c>
      <c r="B4" s="4" t="n">
        <v>1200000</v>
      </c>
      <c r="C4" s="4" t="n">
        <v>4500000</v>
      </c>
      <c r="D4" s="4" t="n">
        <v>12000000</v>
      </c>
      <c r="E4" s="4" t="n">
        <v>22000000</v>
      </c>
      <c r="F4" s="4" t="n">
        <v>35000000</v>
      </c>
      <c r="G4" t="inlineStr"/>
    </row>
    <row r="5">
      <c r="A5" s="5" t="inlineStr">
        <is>
          <t>Kulud kokku</t>
        </is>
      </c>
      <c r="B5" s="6" t="n">
        <v>2800000</v>
      </c>
      <c r="C5" s="6" t="n">
        <v>3600000</v>
      </c>
      <c r="D5" s="6" t="n">
        <v>6500000</v>
      </c>
      <c r="E5" s="6" t="n">
        <v>9000000</v>
      </c>
      <c r="F5" s="6" t="n">
        <v>12000000</v>
      </c>
      <c r="G5" t="inlineStr"/>
    </row>
    <row r="6">
      <c r="A6" s="3" t="inlineStr">
        <is>
          <t>EBITDA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  <c r="G6" t="inlineStr"/>
    </row>
    <row r="7">
      <c r="A7" s="5" t="inlineStr">
        <is>
          <t>EBITDA %</t>
        </is>
      </c>
      <c r="B7" s="7">
        <f>B6/B4</f>
        <v/>
      </c>
      <c r="C7" s="7">
        <f>C6/C4</f>
        <v/>
      </c>
      <c r="D7" s="7">
        <f>D6/D4</f>
        <v/>
      </c>
      <c r="E7" s="7">
        <f>E6/E4</f>
        <v/>
      </c>
      <c r="F7" s="7">
        <f>F6/F4</f>
        <v/>
      </c>
      <c r="G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t="inlineStr"/>
    </row>
    <row r="9">
      <c r="A9" s="5" t="inlineStr">
        <is>
          <t>Jaotus Eesti Tuleviku Fondi:</t>
        </is>
      </c>
      <c r="B9" s="6" t="inlineStr"/>
      <c r="C9" s="6" t="inlineStr"/>
      <c r="D9" s="6" t="inlineStr"/>
      <c r="E9" s="6" t="inlineStr"/>
      <c r="F9" s="6" t="inlineStr"/>
      <c r="G9" t="inlineStr"/>
    </row>
    <row r="10">
      <c r="A10" s="3" t="inlineStr">
        <is>
          <t xml:space="preserve">  Päikesepargid (40%)</t>
        </is>
      </c>
      <c r="B10" s="4">
        <f>MAX(0,B6*0.4)</f>
        <v/>
      </c>
      <c r="C10" s="4">
        <f>MAX(0,C6*0.4)</f>
        <v/>
      </c>
      <c r="D10" s="4">
        <f>D6*0.4</f>
        <v/>
      </c>
      <c r="E10" s="4">
        <f>E6*0.4</f>
        <v/>
      </c>
      <c r="F10" s="4">
        <f>F6*0.4</f>
        <v/>
      </c>
      <c r="G10" t="inlineStr">
        <is>
          <t>Macro-kott</t>
        </is>
      </c>
    </row>
    <row r="11">
      <c r="A11" s="5" t="inlineStr">
        <is>
          <t xml:space="preserve">  Tööstus + robotid (30%)</t>
        </is>
      </c>
      <c r="B11" s="6">
        <f>MAX(0,B6*0.3)</f>
        <v/>
      </c>
      <c r="C11" s="6">
        <f>MAX(0,C6*0.3)</f>
        <v/>
      </c>
      <c r="D11" s="6">
        <f>D6*0.3</f>
        <v/>
      </c>
      <c r="E11" s="6">
        <f>E6*0.3</f>
        <v/>
      </c>
      <c r="F11" s="6">
        <f>F6*0.3</f>
        <v/>
      </c>
      <c r="G11" t="inlineStr">
        <is>
          <t>Macro-kott</t>
        </is>
      </c>
    </row>
    <row r="12">
      <c r="A12" s="3" t="inlineStr">
        <is>
          <t xml:space="preserve">  Basic income pilot (20%)</t>
        </is>
      </c>
      <c r="B12" s="4">
        <f>MAX(0,B6*0.2)</f>
        <v/>
      </c>
      <c r="C12" s="4">
        <f>MAX(0,C6*0.2)</f>
        <v/>
      </c>
      <c r="D12" s="4">
        <f>D6*0.2</f>
        <v/>
      </c>
      <c r="E12" s="4">
        <f>E6*0.2</f>
        <v/>
      </c>
      <c r="F12" s="4">
        <f>F6*0.2</f>
        <v/>
      </c>
      <c r="G12" t="inlineStr">
        <is>
          <t>Macro-kott</t>
        </is>
      </c>
    </row>
    <row r="13">
      <c r="A13" s="5" t="inlineStr">
        <is>
          <t xml:space="preserve">  Uurimine + koolid (10%)</t>
        </is>
      </c>
      <c r="B13" s="5">
        <f>MAX(0,B6*0.1)</f>
        <v/>
      </c>
      <c r="C13" s="5">
        <f>MAX(0,C6*0.1)</f>
        <v/>
      </c>
      <c r="D13" s="5">
        <f>D6*0.1</f>
        <v/>
      </c>
      <c r="E13" s="5">
        <f>E6*0.1</f>
        <v/>
      </c>
      <c r="F13" s="5">
        <f>F6*0.1</f>
        <v/>
      </c>
      <c r="G13" t="inlineStr">
        <is>
          <t>Macro-kott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t="inlineStr"/>
    </row>
    <row r="15">
      <c r="A15" s="5" t="inlineStr">
        <is>
          <t>Dalio põhimõte</t>
        </is>
      </c>
      <c r="B15" s="5" t="inlineStr">
        <is>
          <t>8 mitte-korrelatsioonset voogu</t>
        </is>
      </c>
      <c r="C15" s="5" t="inlineStr"/>
      <c r="D15" s="5" t="inlineStr"/>
      <c r="E15" s="5" t="inlineStr"/>
      <c r="F15" s="5" t="inlineStr"/>
      <c r="G15" t="inlineStr">
        <is>
          <t>Vt leht Finantsstrateegia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t="inlineStr"/>
    </row>
    <row r="17">
      <c r="A17" s="5" t="inlineStr">
        <is>
          <t>5-aasta kumulatiivne EBITDA</t>
        </is>
      </c>
      <c r="B17" s="5">
        <f>SUM(B6:F6)</f>
        <v/>
      </c>
      <c r="C17" s="5" t="inlineStr"/>
      <c r="D17" s="5" t="inlineStr"/>
      <c r="E17" s="5" t="inlineStr"/>
      <c r="F17" s="5" t="inlineStr"/>
      <c r="G17" t="inlineStr">
        <is>
          <t>Eesmärk: positiivne A2-st</t>
        </is>
      </c>
    </row>
    <row r="18">
      <c r="A18" s="3" t="n"/>
      <c r="B18" s="4" t="n"/>
      <c r="C18" s="4" t="n"/>
      <c r="D18" s="4" t="n"/>
      <c r="E18" s="4" t="n"/>
      <c r="F18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28" customHeight="1">
      <c r="A1" s="1" t="inlineStr">
        <is>
          <t>5-AASTA ARENGUPLAAN 2026–2030</t>
        </is>
      </c>
    </row>
    <row r="3">
      <c r="A3" s="2" t="inlineStr">
        <is>
          <t>Aasta</t>
        </is>
      </c>
      <c r="B3" s="2" t="inlineStr">
        <is>
          <t>Fookus</t>
        </is>
      </c>
      <c r="C3" s="2" t="inlineStr">
        <is>
          <t>Tegevused</t>
        </is>
      </c>
      <c r="D3" s="2" t="inlineStr">
        <is>
          <t>Eesmärgid</t>
        </is>
      </c>
      <c r="E3" s="2" t="inlineStr">
        <is>
          <t>Mõõdikud</t>
        </is>
      </c>
    </row>
    <row r="4" ht="50" customHeight="1">
      <c r="A4" s="3" t="inlineStr">
        <is>
          <t>2026 A1</t>
        </is>
      </c>
      <c r="B4" s="3" t="inlineStr">
        <is>
          <t>Vundament</t>
        </is>
      </c>
      <c r="C4" s="3" t="inlineStr">
        <is>
          <t>ERMA AS loomine; 3 puukooli piloot; tööstuskanep klaster Jõgeval; Brüsseli positsioonipaber</t>
        </is>
      </c>
      <c r="D4" s="3" t="inlineStr">
        <is>
          <t>Legaalne tööstus käimas</t>
        </is>
      </c>
      <c r="E4" s="3" t="inlineStr">
        <is>
          <t>45 töökohta, 400k tulu</t>
        </is>
      </c>
    </row>
    <row r="5" ht="50" customHeight="1">
      <c r="A5" s="5" t="inlineStr">
        <is>
          <t>2027 A2</t>
        </is>
      </c>
      <c r="B5" s="5" t="inlineStr">
        <is>
          <t>Kasv</t>
        </is>
      </c>
      <c r="C5" s="5" t="inlineStr">
        <is>
          <t>8 puukooli; 5 growshopi; CBD kosmeetika bränd; kutsekooli programm</t>
        </is>
      </c>
      <c r="D5" s="5" t="inlineStr">
        <is>
          <t>Kohalik toode turul</t>
        </is>
      </c>
      <c r="E5" s="5" t="inlineStr">
        <is>
          <t>120 töökohta, 4.5M tulu</t>
        </is>
      </c>
    </row>
    <row r="6" ht="50" customHeight="1">
      <c r="A6" s="3" t="inlineStr">
        <is>
          <t>2028 A3</t>
        </is>
      </c>
      <c r="B6" s="3" t="inlineStr">
        <is>
          <t>Regulatsioon</t>
        </is>
      </c>
      <c r="C6" s="3" t="inlineStr">
        <is>
          <t>Täiskasvanute turu piloot; 15 puukooli; meditsiiniline tootmine; koolide looduskursused</t>
        </is>
      </c>
      <c r="D6" s="3" t="inlineStr">
        <is>
          <t>Must turg väheneb 30%</t>
        </is>
      </c>
      <c r="E6" s="3" t="inlineStr">
        <is>
          <t>280 töökohta, 12M tulu</t>
        </is>
      </c>
    </row>
    <row r="7" ht="50" customHeight="1">
      <c r="A7" s="5" t="inlineStr">
        <is>
          <t>2029 A4</t>
        </is>
      </c>
      <c r="B7" s="5" t="inlineStr">
        <is>
          <t>Skaleerimine</t>
        </is>
      </c>
      <c r="C7" s="5" t="inlineStr">
        <is>
          <t>22 puukooli; 15 growshopi; eksport; päikesepargid fondist</t>
        </is>
      </c>
      <c r="D7" s="5" t="inlineStr">
        <is>
          <t>Riigisisene tarneahel</t>
        </is>
      </c>
      <c r="E7" s="5" t="inlineStr">
        <is>
          <t>450 töökohta, 22M tulu</t>
        </is>
      </c>
    </row>
    <row r="8" ht="50" customHeight="1">
      <c r="A8" s="3" t="inlineStr">
        <is>
          <t>2030 A5</t>
        </is>
      </c>
      <c r="B8" s="3" t="inlineStr">
        <is>
          <t>Küpsus</t>
        </is>
      </c>
      <c r="C8" s="3" t="inlineStr">
        <is>
          <t>30 puukooli; 25 growshopi; masinad paid off → vaba kassa; basic income pilot 10k</t>
        </is>
      </c>
      <c r="D8" s="3" t="inlineStr">
        <is>
          <t>Eesmärk saavutatud</t>
        </is>
      </c>
      <c r="E8" s="3" t="inlineStr">
        <is>
          <t>650 töökohta, 35M tulu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28" customHeight="1">
      <c r="A1" s="1" t="inlineStr">
        <is>
          <t>PUUKOOLIDE JA KASVATUSETTEVÕTETE TOETUSMUDEL</t>
        </is>
      </c>
    </row>
    <row r="3">
      <c r="A3" s="8" t="inlineStr">
        <is>
          <t>Toetusmeede</t>
        </is>
      </c>
      <c r="B3" s="8" t="inlineStr">
        <is>
          <t>Summa/üksus</t>
        </is>
      </c>
      <c r="C3" s="8" t="inlineStr">
        <is>
          <t>A1</t>
        </is>
      </c>
      <c r="D3" s="8" t="inlineStr">
        <is>
          <t>A2</t>
        </is>
      </c>
      <c r="E3" s="8" t="inlineStr">
        <is>
          <t>A3</t>
        </is>
      </c>
      <c r="F3" s="8" t="inlineStr">
        <is>
          <t>A4-A5</t>
        </is>
      </c>
      <c r="G3" s="8" t="inlineStr">
        <is>
          <t>Tingimused</t>
        </is>
      </c>
    </row>
    <row r="4">
      <c r="A4" s="3" t="inlineStr">
        <is>
          <t>Seemikuprogramm (€/1000 tk)</t>
        </is>
      </c>
      <c r="B4" s="3" t="n">
        <v>800</v>
      </c>
      <c r="C4" s="3" t="n">
        <v>3</v>
      </c>
      <c r="D4" s="3" t="n">
        <v>8</v>
      </c>
      <c r="E4" s="3" t="n">
        <v>15</v>
      </c>
      <c r="F4" s="3" t="n">
        <v>30</v>
      </c>
      <c r="G4" s="3" t="inlineStr">
        <is>
          <t>Certified hemp seedlings</t>
        </is>
      </c>
    </row>
    <row r="5">
      <c r="A5" s="5" t="inlineStr">
        <is>
          <t>Sertifitseerimisboonus (€/farm)</t>
        </is>
      </c>
      <c r="B5" s="5" t="n">
        <v>5000</v>
      </c>
      <c r="C5" s="5" t="n">
        <v>3</v>
      </c>
      <c r="D5" s="5" t="n">
        <v>8</v>
      </c>
      <c r="E5" s="5" t="n">
        <v>15</v>
      </c>
      <c r="F5" s="5" t="n">
        <v>30</v>
      </c>
      <c r="G5" s="5" t="inlineStr">
        <is>
          <t>EU organic või equivalent</t>
        </is>
      </c>
    </row>
    <row r="6">
      <c r="A6" s="3" t="inlineStr">
        <is>
          <t>Hektaritoetus (€/ha)</t>
        </is>
      </c>
      <c r="B6" s="3" t="n">
        <v>350</v>
      </c>
      <c r="C6" s="3" t="n">
        <v>50</v>
      </c>
      <c r="D6" s="3" t="n">
        <v>200</v>
      </c>
      <c r="E6" s="3" t="n">
        <v>500</v>
      </c>
      <c r="F6" s="3" t="n">
        <v>1000</v>
      </c>
      <c r="G6" s="3" t="inlineStr">
        <is>
          <t>Tööstuskanep, max 500€/ha</t>
        </is>
      </c>
    </row>
    <row r="7">
      <c r="A7" s="5" t="inlineStr">
        <is>
          <t>Seadme liisingukaasfin (%)</t>
        </is>
      </c>
      <c r="B7" s="5" t="inlineStr">
        <is>
          <t>30%</t>
        </is>
      </c>
      <c r="C7" s="5" t="n">
        <v>4</v>
      </c>
      <c r="D7" s="5" t="n">
        <v>12</v>
      </c>
      <c r="E7" s="5" t="n">
        <v>28</v>
      </c>
      <c r="F7" s="5" t="n">
        <v>60</v>
      </c>
      <c r="G7" s="5" t="inlineStr">
        <is>
          <t>Kuivati, press, pakkimine</t>
        </is>
      </c>
    </row>
    <row r="8">
      <c r="A8" s="3" t="inlineStr">
        <is>
          <t>Koolitustoetus (€/töötaja)</t>
        </is>
      </c>
      <c r="B8" s="3" t="n">
        <v>500</v>
      </c>
      <c r="C8" s="3" t="n">
        <v>15</v>
      </c>
      <c r="D8" s="3" t="n">
        <v>40</v>
      </c>
      <c r="E8" s="3" t="n">
        <v>80</v>
      </c>
      <c r="F8" s="3" t="n">
        <v>150</v>
      </c>
      <c r="G8" s="3" t="inlineStr">
        <is>
          <t>Kutsekool + EPM kursus</t>
        </is>
      </c>
    </row>
    <row r="9">
      <c r="A9" s="5" t="inlineStr">
        <is>
          <t>Eksportboonus (€/tonn)</t>
        </is>
      </c>
      <c r="B9" s="5" t="n">
        <v>120</v>
      </c>
      <c r="C9" s="5" t="n">
        <v>5</v>
      </c>
      <c r="D9" s="5" t="n">
        <v>20</v>
      </c>
      <c r="E9" s="5" t="n">
        <v>60</v>
      </c>
      <c r="F9" s="5" t="n">
        <v>120</v>
      </c>
      <c r="G9" s="5" t="inlineStr">
        <is>
          <t>Kiud või seemned väljapoole</t>
        </is>
      </c>
    </row>
    <row r="10">
      <c r="A10" s="3" t="inlineStr">
        <is>
          <t>Maaelu LEADER (olemasolev)</t>
        </is>
      </c>
      <c r="B10" s="3" t="inlineStr">
        <is>
          <t>Kuni 50k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Taotlus läbi kohaliku KOV</t>
        </is>
      </c>
    </row>
    <row r="11">
      <c r="A11" s="5" t="inlineStr">
        <is>
          <t>EAS arendusgrant (olemasolev)</t>
        </is>
      </c>
      <c r="B11" s="5" t="inlineStr">
        <is>
          <t>Kuni 200k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Innovatsioon, tööstus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35" customWidth="1" min="6" max="6"/>
  </cols>
  <sheetData>
    <row r="1" ht="28" customHeight="1">
      <c r="A1" s="1" t="inlineStr">
        <is>
          <t>GROWSHOP — VÄLISMAA VS EESTI RIIKLIK MUDEL</t>
        </is>
      </c>
    </row>
    <row r="3">
      <c r="A3" s="2" t="inlineStr">
        <is>
          <t>Näitaja</t>
        </is>
      </c>
      <c r="B3" s="2" t="inlineStr">
        <is>
          <t>Välismaa growshop</t>
        </is>
      </c>
      <c r="C3" s="2" t="inlineStr">
        <is>
          <t>Eesti Roheline</t>
        </is>
      </c>
      <c r="D3" s="2" t="inlineStr">
        <is>
          <t>Eelis</t>
        </is>
      </c>
      <c r="E3" s="2" t="inlineStr">
        <is>
          <t>A5 eesmärk</t>
        </is>
      </c>
      <c r="F3" s="2" t="inlineStr">
        <is>
          <t>Märkus</t>
        </is>
      </c>
    </row>
    <row r="4">
      <c r="A4" s="3" t="inlineStr">
        <is>
          <t>Omanik</t>
        </is>
      </c>
      <c r="B4" s="3" t="inlineStr">
        <is>
          <t>Hollandi/Saksa kett</t>
        </is>
      </c>
      <c r="C4" s="3" t="inlineStr">
        <is>
          <t>ERMA 51% + kohalik</t>
        </is>
      </c>
      <c r="D4" s="3" t="inlineStr">
        <is>
          <t>Raha Eestis</t>
        </is>
      </c>
      <c r="E4" s="3" t="inlineStr">
        <is>
          <t>25 poodi</t>
        </is>
      </c>
      <c r="F4" s="3" t="inlineStr">
        <is>
          <t>Vaba turg, parem teenus</t>
        </is>
      </c>
    </row>
    <row r="5">
      <c r="A5" s="5" t="inlineStr">
        <is>
          <t>Hind 1.33g</t>
        </is>
      </c>
      <c r="B5" s="5" t="inlineStr">
        <is>
          <t>15 €</t>
        </is>
      </c>
      <c r="C5" s="5" t="inlineStr">
        <is>
          <t>12-14 €</t>
        </is>
      </c>
      <c r="D5" s="5" t="inlineStr">
        <is>
          <t>Odavam</t>
        </is>
      </c>
      <c r="E5" s="5" t="inlineStr">
        <is>
          <t>10-12 €</t>
        </is>
      </c>
      <c r="F5" s="5" t="inlineStr">
        <is>
          <t>Otsetootja, vahendajad välja</t>
        </is>
      </c>
    </row>
    <row r="6">
      <c r="A6" s="3" t="inlineStr">
        <is>
          <t>Kvaliteedikontroll</t>
        </is>
      </c>
      <c r="B6" s="3" t="inlineStr">
        <is>
          <t>Puudub/ebaühtlane</t>
        </is>
      </c>
      <c r="C6" s="3" t="inlineStr">
        <is>
          <t>Riiklik labor</t>
        </is>
      </c>
      <c r="D6" s="3" t="inlineStr">
        <is>
          <t>Ohutus</t>
        </is>
      </c>
      <c r="E6" s="3" t="inlineStr">
        <is>
          <t>100% testitud</t>
        </is>
      </c>
      <c r="F6" s="3" t="inlineStr">
        <is>
          <t>Partii kaupa</t>
        </is>
      </c>
    </row>
    <row r="7">
      <c r="A7" s="5" t="inlineStr">
        <is>
          <t>Klienditeenindus</t>
        </is>
      </c>
      <c r="B7" s="5" t="inlineStr">
        <is>
          <t>Online, anonüümne</t>
        </is>
      </c>
      <c r="C7" s="5" t="inlineStr">
        <is>
          <t>Eesti keeles, nõustamine</t>
        </is>
      </c>
      <c r="D7" s="5" t="inlineStr">
        <is>
          <t>Inimlik</t>
        </is>
      </c>
      <c r="E7" s="5" t="inlineStr">
        <is>
          <t>NPS &gt; 70</t>
        </is>
      </c>
      <c r="F7" s="5" t="inlineStr">
        <is>
          <t>Meditsiiniline info</t>
        </is>
      </c>
    </row>
    <row r="8">
      <c r="A8" s="3" t="inlineStr">
        <is>
          <t>Maksud Eestisse</t>
        </is>
      </c>
      <c r="B8" s="3" t="inlineStr">
        <is>
          <t>0 €</t>
        </is>
      </c>
      <c r="C8" s="3" t="inlineStr">
        <is>
          <t>Käibemaks + aktsiis</t>
        </is>
      </c>
      <c r="D8" s="3" t="inlineStr">
        <is>
          <t>Riigile</t>
        </is>
      </c>
      <c r="E8" s="3" t="inlineStr">
        <is>
          <t>8M €/a tulu</t>
        </is>
      </c>
      <c r="F8" s="3" t="inlineStr">
        <is>
          <t>Must turg → legal</t>
        </is>
      </c>
    </row>
    <row r="9">
      <c r="A9" s="5" t="inlineStr">
        <is>
          <t>Töökohad/pood</t>
        </is>
      </c>
      <c r="B9" s="5" t="inlineStr">
        <is>
          <t>1-2</t>
        </is>
      </c>
      <c r="C9" s="5" t="inlineStr">
        <is>
          <t>4-6</t>
        </is>
      </c>
      <c r="D9" s="5" t="inlineStr">
        <is>
          <t>Kohalik</t>
        </is>
      </c>
      <c r="E9" s="5" t="inlineStr">
        <is>
          <t>150+ retail</t>
        </is>
      </c>
      <c r="F9" s="5" t="inlineStr">
        <is>
          <t>Hooldus, nõustamine</t>
        </is>
      </c>
    </row>
    <row r="10">
      <c r="A10" s="3" t="inlineStr">
        <is>
          <t>Toote päritolu</t>
        </is>
      </c>
      <c r="B10" s="3" t="inlineStr">
        <is>
          <t>Import</t>
        </is>
      </c>
      <c r="C10" s="3" t="inlineStr">
        <is>
          <t>70% kohalik A5</t>
        </is>
      </c>
      <c r="D10" s="3" t="inlineStr">
        <is>
          <t>Suveräänsus</t>
        </is>
      </c>
      <c r="E10" s="3" t="inlineStr">
        <is>
          <t>90% kohalik</t>
        </is>
      </c>
      <c r="F10" s="3" t="inlineStr">
        <is>
          <t>Eesti kanep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28" customHeight="1">
      <c r="A1" s="1" t="inlineStr">
        <is>
          <t>MASINAD LIISEINGUGA — VABA KASSA MUDEL</t>
        </is>
      </c>
    </row>
    <row r="3">
      <c r="A3" s="9" t="inlineStr">
        <is>
          <t>Seade</t>
        </is>
      </c>
      <c r="B3" s="9" t="inlineStr">
        <is>
          <t>Hind (€)</t>
        </is>
      </c>
      <c r="C3" s="9" t="inlineStr">
        <is>
          <t>Liising (kuu)</t>
        </is>
      </c>
      <c r="D3" s="9" t="inlineStr">
        <is>
          <t>Kestus</t>
        </is>
      </c>
      <c r="E3" s="9" t="inlineStr">
        <is>
          <t>Klient maksab</t>
        </is>
      </c>
      <c r="F3" s="9" t="inlineStr">
        <is>
          <t>Pärast lõppu</t>
        </is>
      </c>
      <c r="G3" s="9" t="inlineStr">
        <is>
          <t>Selgitus</t>
        </is>
      </c>
    </row>
    <row r="4">
      <c r="A4" s="3" t="inlineStr">
        <is>
          <t>Kuivati 500kg</t>
        </is>
      </c>
      <c r="B4" s="4" t="n">
        <v>85000</v>
      </c>
      <c r="C4" s="4" t="n">
        <v>1850</v>
      </c>
      <c r="D4" s="3" t="inlineStr">
        <is>
          <t>48 kk</t>
        </is>
      </c>
      <c r="E4" s="3" t="inlineStr">
        <is>
          <t>89 €/kuu lisatasu</t>
        </is>
      </c>
      <c r="F4" s="3" t="inlineStr">
        <is>
          <t>ERMA omand</t>
        </is>
      </c>
      <c r="G4" s="3" t="inlineStr">
        <is>
          <t>Farmer lease → paid off</t>
        </is>
      </c>
    </row>
    <row r="5">
      <c r="A5" s="5" t="inlineStr">
        <is>
          <t>Õlipress</t>
        </is>
      </c>
      <c r="B5" s="6" t="n">
        <v>120000</v>
      </c>
      <c r="C5" s="6" t="n">
        <v>2600</v>
      </c>
      <c r="D5" s="5" t="inlineStr">
        <is>
          <t>48 kk</t>
        </is>
      </c>
      <c r="E5" s="5" t="inlineStr">
        <is>
          <t>125 €/kuu</t>
        </is>
      </c>
      <c r="F5" s="5" t="inlineStr">
        <is>
          <t>ERMA omand</t>
        </is>
      </c>
      <c r="G5" s="5" t="inlineStr">
        <is>
          <t>CBD kosmeetika liin</t>
        </is>
      </c>
    </row>
    <row r="6">
      <c r="A6" s="3" t="inlineStr">
        <is>
          <t>Pakkeliin</t>
        </is>
      </c>
      <c r="B6" s="4" t="n">
        <v>65000</v>
      </c>
      <c r="C6" s="4" t="n">
        <v>1420</v>
      </c>
      <c r="D6" s="3" t="inlineStr">
        <is>
          <t>48 kk</t>
        </is>
      </c>
      <c r="E6" s="3" t="inlineStr">
        <is>
          <t>68 €/kuu</t>
        </is>
      </c>
      <c r="F6" s="3" t="inlineStr">
        <is>
          <t>ERMA omand</t>
        </is>
      </c>
      <c r="G6" s="3" t="inlineStr">
        <is>
          <t>Growshop supply</t>
        </is>
      </c>
    </row>
    <row r="7">
      <c r="A7" s="5" t="inlineStr">
        <is>
          <t>Labor seade</t>
        </is>
      </c>
      <c r="B7" s="6" t="n">
        <v>45000</v>
      </c>
      <c r="C7" s="6" t="n">
        <v>980</v>
      </c>
      <c r="D7" s="5" t="inlineStr">
        <is>
          <t>48 kk</t>
        </is>
      </c>
      <c r="E7" s="5" t="inlineStr">
        <is>
          <t>—</t>
        </is>
      </c>
      <c r="F7" s="5" t="inlineStr">
        <is>
          <t>ERMA omand</t>
        </is>
      </c>
      <c r="G7" s="5" t="inlineStr">
        <is>
          <t>Kvaliteedikontroll</t>
        </is>
      </c>
    </row>
    <row r="8">
      <c r="A8" s="3" t="inlineStr">
        <is>
          <t>Kasvuruumi tech</t>
        </is>
      </c>
      <c r="B8" s="4" t="n">
        <v>35000</v>
      </c>
      <c r="C8" s="4" t="n">
        <v>760</v>
      </c>
      <c r="D8" s="3" t="inlineStr">
        <is>
          <t>48 kk</t>
        </is>
      </c>
      <c r="E8" s="3" t="inlineStr">
        <is>
          <t>40 €/kuu</t>
        </is>
      </c>
      <c r="F8" s="3" t="inlineStr">
        <is>
          <t>ERMA/partner</t>
        </is>
      </c>
      <c r="G8" s="3" t="inlineStr">
        <is>
          <t>Puukooli partner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3" t="inlineStr">
        <is>
          <t>VABA KASSA loogika: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5" t="inlineStr">
        <is>
          <t>Aastad 1-4</t>
        </is>
      </c>
      <c r="B11" s="5" t="inlineStr">
        <is>
          <t>Klient maksab toote + liisinguosa</t>
        </is>
      </c>
      <c r="C11" s="5" t="inlineStr"/>
      <c r="D11" s="5" t="inlineStr"/>
      <c r="E11" s="5" t="inlineStr"/>
      <c r="F11" s="5" t="inlineStr"/>
      <c r="G11" s="5" t="inlineStr">
        <is>
          <t>Masin ostetakse välja</t>
        </is>
      </c>
    </row>
    <row r="12">
      <c r="A12" s="3" t="inlineStr">
        <is>
          <t>Aasta 5+</t>
        </is>
      </c>
      <c r="B12" s="3" t="inlineStr">
        <is>
          <t>Masin on riigi/partneri oma</t>
        </is>
      </c>
      <c r="C12" s="3" t="inlineStr"/>
      <c r="D12" s="3" t="inlineStr"/>
      <c r="E12" s="3" t="inlineStr"/>
      <c r="F12" s="3" t="inlineStr"/>
      <c r="G12" s="3" t="inlineStr">
        <is>
          <t>Kasum ilma liisinguta = vaba kassa</t>
        </is>
      </c>
    </row>
    <row r="13">
      <c r="A13" s="5" t="inlineStr">
        <is>
          <t>5a liisingutulu</t>
        </is>
      </c>
      <c r="B13" s="5" t="n">
        <v>400000</v>
      </c>
      <c r="C13" s="5" t="n">
        <v>1000000</v>
      </c>
      <c r="D13" s="5" t="n">
        <v>2000000</v>
      </c>
      <c r="E13" s="5" t="n">
        <v>3000000</v>
      </c>
      <c r="F13" s="5" t="n">
        <v>3500000</v>
      </c>
      <c r="G13" s="5" t="inlineStr">
        <is>
          <t>Kumulatiivne reinvesteering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28" customHeight="1">
      <c r="A1" s="1" t="inlineStr">
        <is>
          <t>TÖÖKOHTADE PROGNOOS</t>
        </is>
      </c>
    </row>
    <row r="3">
      <c r="A3" s="2" t="inlineStr">
        <is>
          <t>Valdkond</t>
        </is>
      </c>
      <c r="B3" s="2" t="inlineStr">
        <is>
          <t>A1</t>
        </is>
      </c>
      <c r="C3" s="2" t="inlineStr">
        <is>
          <t>A2</t>
        </is>
      </c>
      <c r="D3" s="2" t="inlineStr">
        <is>
          <t>A3</t>
        </is>
      </c>
      <c r="E3" s="2" t="inlineStr">
        <is>
          <t>A4</t>
        </is>
      </c>
      <c r="F3" s="2" t="inlineStr">
        <is>
          <t>A5</t>
        </is>
      </c>
      <c r="G3" s="2" t="inlineStr">
        <is>
          <t>Keskmine palk (bruto)</t>
        </is>
      </c>
    </row>
    <row r="4">
      <c r="A4" s="3" t="inlineStr">
        <is>
          <t>Puukoolid / kasvatus</t>
        </is>
      </c>
      <c r="B4" s="3" t="n">
        <v>12</v>
      </c>
      <c r="C4" s="3" t="n">
        <v>35</v>
      </c>
      <c r="D4" s="3" t="n">
        <v>80</v>
      </c>
      <c r="E4" s="3" t="n">
        <v>120</v>
      </c>
      <c r="F4" s="3" t="n">
        <v>160</v>
      </c>
      <c r="G4" s="3" t="inlineStr">
        <is>
          <t>1 400 €</t>
        </is>
      </c>
    </row>
    <row r="5">
      <c r="A5" s="5" t="inlineStr">
        <is>
          <t>Töötlemine / tootmine</t>
        </is>
      </c>
      <c r="B5" s="5" t="n">
        <v>8</v>
      </c>
      <c r="C5" s="5" t="n">
        <v>25</v>
      </c>
      <c r="D5" s="5" t="n">
        <v>60</v>
      </c>
      <c r="E5" s="5" t="n">
        <v>100</v>
      </c>
      <c r="F5" s="5" t="n">
        <v>150</v>
      </c>
      <c r="G5" s="5" t="inlineStr">
        <is>
          <t>1 800 €</t>
        </is>
      </c>
    </row>
    <row r="6">
      <c r="A6" s="3" t="inlineStr">
        <is>
          <t>Growshop / jaemüük</t>
        </is>
      </c>
      <c r="B6" s="3" t="n">
        <v>5</v>
      </c>
      <c r="C6" s="3" t="n">
        <v>25</v>
      </c>
      <c r="D6" s="3" t="n">
        <v>60</v>
      </c>
      <c r="E6" s="3" t="n">
        <v>100</v>
      </c>
      <c r="F6" s="3" t="n">
        <v>150</v>
      </c>
      <c r="G6" s="3" t="inlineStr">
        <is>
          <t>1 500 €</t>
        </is>
      </c>
    </row>
    <row r="7">
      <c r="A7" s="5" t="inlineStr">
        <is>
          <t>Labor / kvaliteet</t>
        </is>
      </c>
      <c r="B7" s="5" t="n">
        <v>3</v>
      </c>
      <c r="C7" s="5" t="n">
        <v>8</v>
      </c>
      <c r="D7" s="5" t="n">
        <v>15</v>
      </c>
      <c r="E7" s="5" t="n">
        <v>20</v>
      </c>
      <c r="F7" s="5" t="n">
        <v>25</v>
      </c>
      <c r="G7" s="5" t="inlineStr">
        <is>
          <t>2 200 €</t>
        </is>
      </c>
    </row>
    <row r="8">
      <c r="A8" s="3" t="inlineStr">
        <is>
          <t>IT / logistika</t>
        </is>
      </c>
      <c r="B8" s="3" t="n">
        <v>4</v>
      </c>
      <c r="C8" s="3" t="n">
        <v>10</v>
      </c>
      <c r="D8" s="3" t="n">
        <v>20</v>
      </c>
      <c r="E8" s="3" t="n">
        <v>35</v>
      </c>
      <c r="F8" s="3" t="n">
        <v>50</v>
      </c>
      <c r="G8" s="3" t="inlineStr">
        <is>
          <t>2 000 €</t>
        </is>
      </c>
    </row>
    <row r="9">
      <c r="A9" s="5" t="inlineStr">
        <is>
          <t>Juhtimine / haldus</t>
        </is>
      </c>
      <c r="B9" s="5" t="n">
        <v>5</v>
      </c>
      <c r="C9" s="5" t="n">
        <v>8</v>
      </c>
      <c r="D9" s="5" t="n">
        <v>15</v>
      </c>
      <c r="E9" s="5" t="n">
        <v>25</v>
      </c>
      <c r="F9" s="5" t="n">
        <v>35</v>
      </c>
      <c r="G9" s="5" t="inlineStr">
        <is>
          <t>2 500 €</t>
        </is>
      </c>
    </row>
    <row r="10">
      <c r="A10" s="3" t="inlineStr">
        <is>
          <t>Koolitus / nõustamine</t>
        </is>
      </c>
      <c r="B10" s="3" t="n">
        <v>3</v>
      </c>
      <c r="C10" s="3" t="n">
        <v>5</v>
      </c>
      <c r="D10" s="3" t="n">
        <v>12</v>
      </c>
      <c r="E10" s="3" t="n">
        <v>20</v>
      </c>
      <c r="F10" s="3" t="n">
        <v>30</v>
      </c>
      <c r="G10" s="3" t="inlineStr">
        <is>
          <t>1 700 €</t>
        </is>
      </c>
    </row>
    <row r="11">
      <c r="A11" s="5" t="inlineStr">
        <is>
          <t>Ehitus / hampcrete</t>
        </is>
      </c>
      <c r="B11" s="5" t="n">
        <v>5</v>
      </c>
      <c r="C11" s="5" t="n">
        <v>4</v>
      </c>
      <c r="D11" s="5" t="n">
        <v>18</v>
      </c>
      <c r="E11" s="5" t="n">
        <v>30</v>
      </c>
      <c r="F11" s="5" t="n">
        <v>50</v>
      </c>
      <c r="G11" s="5" t="inlineStr">
        <is>
          <t>1 600 €</t>
        </is>
      </c>
    </row>
    <row r="12">
      <c r="A12" s="3" t="inlineStr">
        <is>
          <t>KOKKU</t>
        </is>
      </c>
      <c r="B12" s="3">
        <f>SUM(B2:B9)</f>
        <v/>
      </c>
      <c r="C12" s="3">
        <f>SUM(C2:C9)</f>
        <v/>
      </c>
      <c r="D12" s="3">
        <f>SUM(D2:D9)</f>
        <v/>
      </c>
      <c r="E12" s="3">
        <f>SUM(E2:E9)</f>
        <v/>
      </c>
      <c r="F12" s="3">
        <f>SUM(F2:F9)</f>
        <v/>
      </c>
      <c r="G12" s="3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t="inlineStr">
        <is>
          <t>Palgafond (hinnanguline €)</t>
        </is>
      </c>
      <c r="B14" t="n">
        <v>900000</v>
      </c>
      <c r="C14" t="n">
        <v>1400000</v>
      </c>
      <c r="D14" t="n">
        <v>2500000</v>
      </c>
      <c r="E14" t="n">
        <v>3800000</v>
      </c>
      <c r="F14" t="n">
        <v>5200000</v>
      </c>
      <c r="G14" t="inlineStr">
        <is>
          <t>Sh sotsiaalmaks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 ht="28" customHeight="1">
      <c r="A1" s="1" t="inlineStr">
        <is>
          <t>MIDA BRÜSSELILE ÖELDA — INIMLIK POSITSIOON</t>
        </is>
      </c>
    </row>
    <row r="3">
      <c r="A3" s="10" t="inlineStr">
        <is>
          <t>Teema</t>
        </is>
      </c>
      <c r="B3" s="10" t="inlineStr">
        <is>
          <t>Meie sõnum Brüsselile</t>
        </is>
      </c>
      <c r="C3" s="10" t="inlineStr">
        <is>
          <t>Õiguslik alus / precedents</t>
        </is>
      </c>
    </row>
    <row r="4" ht="45" customHeight="1">
      <c r="A4" s="3" t="inlineStr">
        <is>
          <t>Tööstuskanep</t>
        </is>
      </c>
      <c r="B4" s="3" t="inlineStr">
        <is>
          <t>Eesti soovib olla EL tööstuskanepi keskus. Kiud, ehitus, toit — kõik juba lubatud.</t>
        </is>
      </c>
      <c r="C4" s="3" t="inlineStr">
        <is>
          <t>EL Common Agricultural Policy; hemp &lt;0.3% THC</t>
        </is>
      </c>
    </row>
    <row r="5" ht="45" customHeight="1">
      <c r="A5" s="5" t="inlineStr">
        <is>
          <t>CBD kosmeetika</t>
        </is>
      </c>
      <c r="B5" s="5" t="inlineStr">
        <is>
          <t>Eesti toodab kosmeetikat, mitte toitu. EFSA novel food ei kehti kreemidele.</t>
        </is>
      </c>
      <c r="C5" s="5" t="inlineStr">
        <is>
          <t>Cosmetics Regulation 1223/2009</t>
        </is>
      </c>
    </row>
    <row r="6" ht="45" customHeight="1">
      <c r="A6" s="3" t="inlineStr">
        <is>
          <t>Siseriiklik reguleerimine</t>
        </is>
      </c>
      <c r="B6" s="3" t="inlineStr">
        <is>
          <t>Täiskasvanute kanep on siseriiklik küsimus. Saksamaa, Malta, Holland on eeskujuks.</t>
        </is>
      </c>
      <c r="C6" s="3" t="inlineStr">
        <is>
          <t>Subsidiarity; EU no harmonized THC policy</t>
        </is>
      </c>
    </row>
    <row r="7" ht="45" customHeight="1">
      <c r="A7" s="5" t="inlineStr">
        <is>
          <t>Rural development</t>
        </is>
      </c>
      <c r="B7" s="5" t="inlineStr">
        <is>
          <t>Kanep aitab maapiirkondi. Palume CAP Pillar II toetusi kasvatamiseks.</t>
        </is>
      </c>
      <c r="C7" s="5" t="inlineStr">
        <is>
          <t>EAFRD, LEADER, Green Deal</t>
        </is>
      </c>
    </row>
    <row r="8" ht="45" customHeight="1">
      <c r="A8" s="3" t="inlineStr">
        <is>
          <t>Harm reduction</t>
        </is>
      </c>
      <c r="B8" s="3" t="inlineStr">
        <is>
          <t>Reguleerimine vähendab musta turgu ja noorte juurdepääsu. Inimkeskne lähenemine.</t>
        </is>
      </c>
      <c r="C8" s="3" t="inlineStr">
        <is>
          <t>WHO; German Cannabis Act rationale</t>
        </is>
      </c>
    </row>
    <row r="9" ht="45" customHeight="1">
      <c r="A9" s="5" t="inlineStr">
        <is>
          <t>Kliimaeesmärgid</t>
        </is>
      </c>
      <c r="B9" s="5" t="inlineStr">
        <is>
          <t>Kanep asendab plastikut, sidub CO₂, toetab rohelist üleminekut.</t>
        </is>
      </c>
      <c r="C9" s="5" t="inlineStr">
        <is>
          <t>EU Green Deal; Fit for 55</t>
        </is>
      </c>
    </row>
    <row r="10" ht="45" customHeight="1">
      <c r="A10" s="3" t="inlineStr">
        <is>
          <t>Mida ME EI ütle</t>
        </is>
      </c>
      <c r="B10" s="3" t="inlineStr">
        <is>
          <t>Me ei küsi luba 'narkootikumide müümiseks'. Me teavitame tööstus- ja maaeluplaanist.</t>
        </is>
      </c>
      <c r="C10" s="3" t="inlineStr">
        <is>
          <t>—</t>
        </is>
      </c>
    </row>
    <row r="11" ht="45" customHeight="1">
      <c r="A11" s="5" t="inlineStr">
        <is>
          <t>Mida ME KÜSIME</t>
        </is>
      </c>
      <c r="B11" s="5" t="inlineStr">
        <is>
          <t>Toetust tööstuskanepi töötlemiseks; selgust CBD kosmeetikas; subsidiarity respect.</t>
        </is>
      </c>
      <c r="C11" s="5" t="inlineStr">
        <is>
          <t>Horizon; EIC; CAP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 ht="28" customHeight="1">
      <c r="A1" s="1" t="inlineStr">
        <is>
          <t>OLEMASOLEVAD VAHENDID — INIMESELT ILMA UUT RAHA TAOTLEMATA</t>
        </is>
      </c>
    </row>
    <row r="3">
      <c r="A3" s="2" t="inlineStr">
        <is>
          <t>Vahend</t>
        </is>
      </c>
      <c r="B3" s="2" t="inlineStr">
        <is>
          <t>Summa</t>
        </is>
      </c>
      <c r="C3" s="2" t="inlineStr">
        <is>
          <t>Kellele</t>
        </is>
      </c>
      <c r="D3" s="2" t="inlineStr">
        <is>
          <t>Kuidas kasutada</t>
        </is>
      </c>
      <c r="E3" s="2" t="inlineStr">
        <is>
          <t>Inimlik samm</t>
        </is>
      </c>
    </row>
    <row r="4" ht="40" customHeight="1">
      <c r="A4" s="3" t="inlineStr">
        <is>
          <t>LEADER / maaelu</t>
        </is>
      </c>
      <c r="B4" s="3" t="inlineStr">
        <is>
          <t>Kuni 50 000 €</t>
        </is>
      </c>
      <c r="C4" s="3" t="inlineStr">
        <is>
          <t>Puukool, väikefarm</t>
        </is>
      </c>
      <c r="D4" s="3" t="inlineStr">
        <is>
          <t>Seemikprogramm, kuivati</t>
        </is>
      </c>
      <c r="E4" s="3" t="inlineStr">
        <is>
          <t>KOV kaasab, inimesed ei jää üksi</t>
        </is>
      </c>
    </row>
    <row r="5" ht="40" customHeight="1">
      <c r="A5" s="5" t="inlineStr">
        <is>
          <t>EAS arendusgrant</t>
        </is>
      </c>
      <c r="B5" s="5" t="inlineStr">
        <is>
          <t>Kuni 200 000 €</t>
        </is>
      </c>
      <c r="C5" s="5" t="inlineStr">
        <is>
          <t>ERMA, startup</t>
        </is>
      </c>
      <c r="D5" s="5" t="inlineStr">
        <is>
          <t>Growshop võrgustik, IT</t>
        </is>
      </c>
      <c r="E5" s="5" t="inlineStr">
        <is>
          <t>Eesti ettevõte, mitte Holland</t>
        </is>
      </c>
    </row>
    <row r="6" ht="40" customHeight="1">
      <c r="A6" s="3" t="inlineStr">
        <is>
          <t>KIK kliimafond</t>
        </is>
      </c>
      <c r="B6" s="3" t="inlineStr">
        <is>
          <t>Projektipõhine</t>
        </is>
      </c>
      <c r="C6" s="3" t="inlineStr">
        <is>
          <t>Töötlemine</t>
        </is>
      </c>
      <c r="D6" s="3" t="inlineStr">
        <is>
          <t>Päikesepark tööstuse juurde</t>
        </is>
      </c>
      <c r="E6" s="3" t="inlineStr">
        <is>
          <t>Roheline energia → odavam tootmine</t>
        </is>
      </c>
    </row>
    <row r="7" ht="40" customHeight="1">
      <c r="A7" s="5" t="inlineStr">
        <is>
          <t>Horizon Europe</t>
        </is>
      </c>
      <c r="B7" s="5" t="inlineStr">
        <is>
          <t>Miljonid (konsortsium)</t>
        </is>
      </c>
      <c r="C7" s="5" t="inlineStr">
        <is>
          <t>Teadus + EPM</t>
        </is>
      </c>
      <c r="D7" s="5" t="inlineStr">
        <is>
          <t>Kanepi uuringud, sordid</t>
        </is>
      </c>
      <c r="E7" s="5" t="inlineStr">
        <is>
          <t>Teaduslik usaldus Brüsselile</t>
        </is>
      </c>
    </row>
    <row r="8" ht="40" customHeight="1">
      <c r="A8" s="3" t="inlineStr">
        <is>
          <t>Kutsekoolide rahastus</t>
        </is>
      </c>
      <c r="B8" s="3" t="inlineStr">
        <is>
          <t>Olemasolev eelarve</t>
        </is>
      </c>
      <c r="C8" s="3" t="inlineStr">
        <is>
          <t>Kutsekoolid</t>
        </is>
      </c>
      <c r="D8" s="3" t="inlineStr">
        <is>
          <t>Uus eriala: taimekasvatus</t>
        </is>
      </c>
      <c r="E8" s="3" t="inlineStr">
        <is>
          <t>Lapsed näevad karjääri</t>
        </is>
      </c>
    </row>
    <row r="9" ht="40" customHeight="1">
      <c r="A9" s="5" t="inlineStr">
        <is>
          <t>Linnaplaneerimine</t>
        </is>
      </c>
      <c r="B9" s="5" t="inlineStr">
        <is>
          <t>KOV eelarve</t>
        </is>
      </c>
      <c r="C9" s="5" t="inlineStr">
        <is>
          <t>Koolid, linnad</t>
        </is>
      </c>
      <c r="D9" s="5" t="inlineStr">
        <is>
          <t>Kooli aiad, urban farm</t>
        </is>
      </c>
      <c r="E9" s="5" t="inlineStr">
        <is>
          <t>Loodus tagasi linnadesse</t>
        </is>
      </c>
    </row>
    <row r="10" ht="40" customHeight="1">
      <c r="A10" s="3" t="inlineStr">
        <is>
          <t>Riigihanke raam</t>
        </is>
      </c>
      <c r="B10" s="3" t="inlineStr">
        <is>
          <t>Olemasolev</t>
        </is>
      </c>
      <c r="C10" s="3" t="inlineStr">
        <is>
          <t>Haiglad, hooldekodud</t>
        </is>
      </c>
      <c r="D10" s="3" t="inlineStr">
        <is>
          <t>CBD kosmeetika, hampcrete</t>
        </is>
      </c>
      <c r="E10" s="3" t="inlineStr">
        <is>
          <t>Kohalik toode avalikus sektoris</t>
        </is>
      </c>
    </row>
    <row r="11" ht="40" customHeight="1">
      <c r="A11" s="5" t="inlineStr">
        <is>
          <t>Töötukassa koolitus</t>
        </is>
      </c>
      <c r="B11" s="5" t="inlineStr">
        <is>
          <t>Töötute programm</t>
        </is>
      </c>
      <c r="C11" s="5" t="inlineStr">
        <is>
          <t>Ümberõpe</t>
        </is>
      </c>
      <c r="D11" s="5" t="inlineStr">
        <is>
          <t>Kanepitööstuse kursused</t>
        </is>
      </c>
      <c r="E11" s="5" t="inlineStr">
        <is>
          <t>Inimene saab uue oskuse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40" customWidth="1" min="4" max="4"/>
  </cols>
  <sheetData>
    <row r="1" ht="28" customHeight="1">
      <c r="A1" s="1" t="inlineStr">
        <is>
          <t>LINNAPLANEERIMINE JA KOOLID — UUED ELUALAD</t>
        </is>
      </c>
    </row>
    <row r="3">
      <c r="A3" s="2" t="inlineStr">
        <is>
          <t>Tase</t>
        </is>
      </c>
      <c r="B3" s="2" t="inlineStr">
        <is>
          <t>Mis muutub</t>
        </is>
      </c>
      <c r="C3" s="2" t="inlineStr">
        <is>
          <t>Konkreetne tegevus</t>
        </is>
      </c>
      <c r="D3" s="2" t="inlineStr">
        <is>
          <t>Tulemus 5 aasta pärast</t>
        </is>
      </c>
    </row>
    <row r="4" ht="40" customHeight="1">
      <c r="A4" s="3" t="inlineStr">
        <is>
          <t>Põhikool</t>
        </is>
      </c>
      <c r="B4" s="3" t="inlineStr">
        <is>
          <t>Looduskursus</t>
        </is>
      </c>
      <c r="C4" s="3" t="inlineStr">
        <is>
          <t>Kooli aed + kanepi demo (tööstus)</t>
        </is>
      </c>
      <c r="D4" s="3" t="inlineStr">
        <is>
          <t>Iga laps teab, mis on taimetööstus</t>
        </is>
      </c>
    </row>
    <row r="5" ht="40" customHeight="1">
      <c r="A5" s="5" t="inlineStr">
        <is>
          <t>Gümnaasium</t>
        </is>
      </c>
      <c r="B5" s="5" t="inlineStr">
        <is>
          <t>Karjääripäev</t>
        </is>
      </c>
      <c r="C5" s="5" t="inlineStr">
        <is>
          <t>EPM, farmid, labor külastus</t>
        </is>
      </c>
      <c r="D5" s="5" t="inlineStr">
        <is>
          <t>30% rohkem taimekasvatus eriala</t>
        </is>
      </c>
    </row>
    <row r="6" ht="40" customHeight="1">
      <c r="A6" s="3" t="inlineStr">
        <is>
          <t>Kutsekool</t>
        </is>
      </c>
      <c r="B6" s="3" t="inlineStr">
        <is>
          <t>Uus eriala</t>
        </is>
      </c>
      <c r="C6" s="3" t="inlineStr">
        <is>
          <t>Taimekasvatus ja töötlemine</t>
        </is>
      </c>
      <c r="D6" s="3" t="inlineStr">
        <is>
          <t>200 lõpetajat/aasta tööturule</t>
        </is>
      </c>
    </row>
    <row r="7" ht="40" customHeight="1">
      <c r="A7" s="5" t="inlineStr">
        <is>
          <t>Ülikool</t>
        </is>
      </c>
      <c r="B7" s="5" t="inlineStr">
        <is>
          <t>Tehnoloogia</t>
        </is>
      </c>
      <c r="C7" s="5" t="inlineStr">
        <is>
          <t>Biokomposiidid, CBD teadus</t>
        </is>
      </c>
      <c r="D7" s="5" t="inlineStr">
        <is>
          <t>Eesti patendid, eksport</t>
        </is>
      </c>
    </row>
    <row r="8" ht="40" customHeight="1">
      <c r="A8" s="3" t="inlineStr">
        <is>
          <t>Linn</t>
        </is>
      </c>
      <c r="B8" s="3" t="inlineStr">
        <is>
          <t>Urban farm</t>
        </is>
      </c>
      <c r="C8" s="3" t="inlineStr">
        <is>
          <t>Katusaared, kogukonna aiad</t>
        </is>
      </c>
      <c r="D8" s="3" t="inlineStr">
        <is>
          <t>Loodus 500m kaugusel igast kodust</t>
        </is>
      </c>
    </row>
    <row r="9" ht="40" customHeight="1">
      <c r="A9" s="5" t="inlineStr">
        <is>
          <t>KOV</t>
        </is>
      </c>
      <c r="B9" s="5" t="inlineStr">
        <is>
          <t>Planeering</t>
        </is>
      </c>
      <c r="C9" s="5" t="inlineStr">
        <is>
          <t>Tööstuskanep tsoonid, rohekoridorid</t>
        </is>
      </c>
      <c r="D9" s="5" t="inlineStr">
        <is>
          <t>Tööstus + elu kooskõlas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2" customWidth="1" min="4" max="4"/>
    <col width="40" customWidth="1" min="5" max="5"/>
  </cols>
  <sheetData>
    <row r="1" ht="28" customHeight="1">
      <c r="A1" s="1" t="inlineStr">
        <is>
          <t>EESTI FINANTSSTRATEEGIA — 8 MITTE-KORRELATSIOONSET VOOGU (RAY DALIO / TONY ROBBINS)</t>
        </is>
      </c>
    </row>
    <row r="2">
      <c r="A2" s="11" t="inlineStr">
        <is>
          <t>Ray Dalio põhimõte (Tony Robbins *All Seasons*): mitte-korrelatsioon (täisversioon 15–20). ERMA kasum → 8 voogu = macro 40/30/20/10.</t>
        </is>
      </c>
    </row>
    <row r="4">
      <c r="A4" s="12" t="inlineStr">
        <is>
          <t>#</t>
        </is>
      </c>
      <c r="B4" s="12" t="inlineStr">
        <is>
          <t>Tuluvoog / varaklass</t>
        </is>
      </c>
      <c r="C4" s="12" t="inlineStr">
        <is>
          <t>Korrelatsioon</t>
        </is>
      </c>
      <c r="D4" s="12" t="inlineStr">
        <is>
          <t>Siht %</t>
        </is>
      </c>
      <c r="E4" s="12" t="inlineStr">
        <is>
          <t>Märkus</t>
        </is>
      </c>
    </row>
    <row r="5">
      <c r="A5" s="5" t="inlineStr">
        <is>
          <t>1</t>
        </is>
      </c>
      <c r="B5" s="5" t="inlineStr">
        <is>
          <t>Päikesepargid + salvestus</t>
        </is>
      </c>
      <c r="C5" s="5" t="inlineStr">
        <is>
          <t>Energia ≠ tarbimine</t>
        </is>
      </c>
      <c r="D5" s="7" t="n">
        <v>0.4</v>
      </c>
      <c r="E5" s="5" t="inlineStr">
        <is>
          <t>Macro 40%</t>
        </is>
      </c>
    </row>
    <row r="6">
      <c r="A6" s="3" t="inlineStr">
        <is>
          <t>2</t>
        </is>
      </c>
      <c r="B6" s="3" t="inlineStr">
        <is>
          <t>Liisingumasinad + robotid</t>
        </is>
      </c>
      <c r="C6" s="3" t="inlineStr">
        <is>
          <t>Tootlik vara ≠ börs</t>
        </is>
      </c>
      <c r="D6" s="13" t="n">
        <v>0.1</v>
      </c>
      <c r="E6" s="3" t="inlineStr">
        <is>
          <t>Macro 30%</t>
        </is>
      </c>
    </row>
    <row r="7">
      <c r="A7" s="5" t="inlineStr">
        <is>
          <t>3</t>
        </is>
      </c>
      <c r="B7" s="5" t="inlineStr">
        <is>
          <t>Tööstuskanep + eksport + CBD</t>
        </is>
      </c>
      <c r="C7" s="5" t="inlineStr">
        <is>
          <t>Ekspordi tsükkel</t>
        </is>
      </c>
      <c r="D7" s="7" t="n">
        <v>0.1</v>
      </c>
      <c r="E7" s="5" t="inlineStr">
        <is>
          <t>Macro 30%</t>
        </is>
      </c>
    </row>
    <row r="8">
      <c r="A8" s="3" t="inlineStr">
        <is>
          <t>4</t>
        </is>
      </c>
      <c r="B8" s="3" t="inlineStr">
        <is>
          <t>Growshop + reguleeritud turg</t>
        </is>
      </c>
      <c r="C8" s="3" t="inlineStr">
        <is>
          <t>Kohalik tarbimine</t>
        </is>
      </c>
      <c r="D8" s="13" t="n">
        <v>0.1</v>
      </c>
      <c r="E8" s="3" t="inlineStr">
        <is>
          <t>Macro 30%</t>
        </is>
      </c>
    </row>
    <row r="9">
      <c r="A9" s="5" t="inlineStr">
        <is>
          <t>5</t>
        </is>
      </c>
      <c r="B9" s="5" t="inlineStr">
        <is>
          <t>Puukoolid + maaelu (LEADER)</t>
        </is>
      </c>
      <c r="C9" s="5" t="inlineStr">
        <is>
          <t>Maaelu ≠ börs</t>
        </is>
      </c>
      <c r="D9" s="7" t="n">
        <v>0.05</v>
      </c>
      <c r="E9" s="5" t="inlineStr">
        <is>
          <t>Macro 10%</t>
        </is>
      </c>
    </row>
    <row r="10">
      <c r="A10" s="3" t="inlineStr">
        <is>
          <t>6</t>
        </is>
      </c>
      <c r="B10" s="3" t="inlineStr">
        <is>
          <t>Haridus + kutsekool</t>
        </is>
      </c>
      <c r="C10" s="3" t="inlineStr">
        <is>
          <t>Inimkapital</t>
        </is>
      </c>
      <c r="D10" s="13" t="n">
        <v>0.05</v>
      </c>
      <c r="E10" s="3" t="inlineStr">
        <is>
          <t>Macro 10%</t>
        </is>
      </c>
    </row>
    <row r="11">
      <c r="A11" s="5" t="inlineStr">
        <is>
          <t>7</t>
        </is>
      </c>
      <c r="B11" s="5" t="inlineStr">
        <is>
          <t>Mirror säästud + teadus (EPM)</t>
        </is>
      </c>
      <c r="C11" s="5" t="inlineStr">
        <is>
          <t>Bürokraatia + pikaajaline</t>
        </is>
      </c>
      <c r="D11" s="7" t="n">
        <v>0.05</v>
      </c>
      <c r="E11" s="5" t="inlineStr">
        <is>
          <t>Macro 10%</t>
        </is>
      </c>
    </row>
    <row r="12">
      <c r="A12" s="3" t="inlineStr">
        <is>
          <t>8</t>
        </is>
      </c>
      <c r="B12" s="3" t="inlineStr">
        <is>
          <t>Basic income + kriisivarud</t>
        </is>
      </c>
      <c r="C12" s="3" t="inlineStr">
        <is>
          <t>Sotsiaal, defensiivne</t>
        </is>
      </c>
      <c r="D12" s="3" t="n">
        <v>0.2</v>
      </c>
      <c r="E12" s="3" t="inlineStr">
        <is>
          <t>Macro 20%</t>
        </is>
      </c>
    </row>
    <row r="13">
      <c r="A13" s="5" t="inlineStr"/>
      <c r="B13" s="5" t="inlineStr">
        <is>
          <t>KOKKU</t>
        </is>
      </c>
      <c r="C13" s="5" t="inlineStr">
        <is>
          <t>8 voogu</t>
        </is>
      </c>
      <c r="D13" s="5">
        <f>SUM(D4:D11)</f>
        <v/>
      </c>
      <c r="E13" s="5" t="inlineStr">
        <is>
          <t>100% fondi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2026-08-16T20:01:16Z</dcterms:created>
  <dcterms:modified xsi:type="dcterms:W3CDTF">2026-08-16T20:01:16Z</dcterms:modified>
</cp:coreProperties>
</file>