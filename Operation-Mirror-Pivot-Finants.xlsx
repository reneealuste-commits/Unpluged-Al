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kkuvõte" sheetId="1" state="visible" r:id="rId1"/>
    <sheet name="Kliimaministeerium" sheetId="2" state="visible" r:id="rId2"/>
    <sheet name="4 rahaallikat" sheetId="3" state="visible" r:id="rId3"/>
    <sheet name="Vana vs Uus" sheetId="4" state="visible" r:id="rId4"/>
    <sheet name="Aasta 5 pilt" sheetId="5" state="visible" r:id="rId5"/>
    <sheet name="Inimeste Fond" sheetId="6" state="visible" r:id="rId6"/>
    <sheet name="5-sammuline pivot" sheetId="7" state="visible" r:id="rId7"/>
    <sheet name="Operation Mirror" sheetId="8" state="visible" r:id="rId8"/>
    <sheet name="Bootstrap raha" sheetId="9" state="visible" r:id="rId9"/>
    <sheet name="ERMA 5a" sheetId="10" state="visible" r:id="rId10"/>
    <sheet name="Must turg vs legal" sheetId="11" state="visible" r:id="rId11"/>
    <sheet name="Olessanded" sheetId="12" state="visible" r:id="rId12"/>
    <sheet name="Finantsstrateegi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1B5E20"/>
      <sz val="14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F5F5F5"/>
      </patternFill>
    </fill>
    <fill>
      <patternFill patternType="solid">
        <fgColor rgb="00F9A825"/>
      </patternFill>
    </fill>
    <fill>
      <patternFill patternType="solid">
        <fgColor rgb="001B5E20"/>
      </patternFill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8" customWidth="1" min="7" max="7"/>
  </cols>
  <sheetData>
    <row r="1" ht="32" customHeight="1">
      <c r="A1" s="1" t="inlineStr">
        <is>
          <t>OPERATION MIRROR + HEMP AUTHORITY — RAHA KOKKUVÕTE</t>
        </is>
      </c>
    </row>
    <row r="3">
      <c r="A3" s="2" t="inlineStr"/>
      <c r="B3" s="2" t="inlineStr">
        <is>
          <t>Aasta 1</t>
        </is>
      </c>
      <c r="C3" s="2" t="inlineStr">
        <is>
          <t>Aasta 3</t>
        </is>
      </c>
      <c r="D3" s="2" t="inlineStr">
        <is>
          <t>Aasta 5</t>
        </is>
      </c>
      <c r="E3" s="2" t="inlineStr">
        <is>
          <t>5a KOKKU</t>
        </is>
      </c>
      <c r="F3" s="2" t="inlineStr">
        <is>
          <t>Märkus</t>
        </is>
      </c>
      <c r="G3" s="2" t="inlineStr"/>
    </row>
    <row r="4">
      <c r="A4" s="3" t="inlineStr">
        <is>
          <t>RAHA SISSE</t>
        </is>
      </c>
      <c r="B4" s="4" t="inlineStr"/>
      <c r="C4" s="4" t="inlineStr"/>
      <c r="D4" s="4" t="inlineStr"/>
      <c r="E4" s="4" t="inlineStr"/>
      <c r="F4" s="3" t="inlineStr"/>
      <c r="G4" s="3" t="inlineStr"/>
    </row>
    <row r="5">
      <c r="A5" s="5" t="inlineStr">
        <is>
          <t>Musta turu maksud (reguleeritud)</t>
        </is>
      </c>
      <c r="B5" s="6" t="n">
        <v>0</v>
      </c>
      <c r="C5" s="6" t="n">
        <v>18000000</v>
      </c>
      <c r="D5" s="6" t="n">
        <v>46000000</v>
      </c>
      <c r="E5" s="6">
        <f>SUM(B4:D4)</f>
        <v/>
      </c>
      <c r="F5" s="5" t="inlineStr">
        <is>
          <t>Julgeolekuteaduste uuring: 46M/a</t>
        </is>
      </c>
      <c r="G5" s="5" t="inlineStr"/>
    </row>
    <row r="6">
      <c r="A6" s="3" t="inlineStr">
        <is>
          <t>ERMA kasum riigikassasse</t>
        </is>
      </c>
      <c r="B6" s="4" t="n">
        <v>0</v>
      </c>
      <c r="C6" s="4" t="n">
        <v>1800000</v>
      </c>
      <c r="D6" s="4" t="n">
        <v>7500000</v>
      </c>
      <c r="E6" s="4">
        <f>SUM(B5:D5)</f>
        <v/>
      </c>
      <c r="F6" s="3" t="inlineStr">
        <is>
          <t>Eesti Roheline Majandus AS</t>
        </is>
      </c>
      <c r="G6" s="3" t="inlineStr"/>
    </row>
    <row r="7">
      <c r="A7" s="5" t="inlineStr">
        <is>
          <t>Operation Mirror säästud</t>
        </is>
      </c>
      <c r="B7" s="6" t="n">
        <v>5000000</v>
      </c>
      <c r="C7" s="6" t="n">
        <v>25000000</v>
      </c>
      <c r="D7" s="6" t="n">
        <v>35000000</v>
      </c>
      <c r="E7" s="6">
        <f>SUM(B6:D6)</f>
        <v/>
      </c>
      <c r="F7" s="5" t="inlineStr">
        <is>
          <t>Bürokraatia kärpimine</t>
        </is>
      </c>
      <c r="G7" s="5" t="inlineStr"/>
    </row>
    <row r="8">
      <c r="A8" s="3" t="inlineStr">
        <is>
          <t>Tööstuskanep + eksport (maksud)</t>
        </is>
      </c>
      <c r="B8" s="4" t="n">
        <v>3000000</v>
      </c>
      <c r="C8" s="4" t="n">
        <v>8000000</v>
      </c>
      <c r="D8" s="4" t="n">
        <v>15000000</v>
      </c>
      <c r="E8" s="4">
        <f>SUM(B7:D7)</f>
        <v/>
      </c>
      <c r="F8" s="3" t="inlineStr">
        <is>
          <t>Nordic Hemp jms</t>
        </is>
      </c>
      <c r="G8" s="3" t="inlineStr"/>
    </row>
    <row r="9">
      <c r="A9" s="5" t="inlineStr">
        <is>
          <t>EL vahendid (LEADER, EAS, CAP)</t>
        </is>
      </c>
      <c r="B9" s="6" t="n">
        <v>2000000</v>
      </c>
      <c r="C9" s="6" t="n">
        <v>3000000</v>
      </c>
      <c r="D9" s="6" t="n">
        <v>5000000</v>
      </c>
      <c r="E9" s="6">
        <f>SUM(B8:D8)</f>
        <v/>
      </c>
      <c r="F9" s="5" t="inlineStr">
        <is>
          <t>Olemasolev, mitte uus maks</t>
        </is>
      </c>
      <c r="G9" s="5" t="inlineStr"/>
    </row>
    <row r="10">
      <c r="A10" s="3" t="inlineStr">
        <is>
          <t>KOKKU SISSE</t>
        </is>
      </c>
      <c r="B10" s="4">
        <f>SUM(B4:B8)</f>
        <v/>
      </c>
      <c r="C10" s="4">
        <f>SUM(C4:C8)</f>
        <v/>
      </c>
      <c r="D10" s="4">
        <f>SUM(D4:D8)</f>
        <v/>
      </c>
      <c r="E10" s="4">
        <f>SUM(E4:E8)</f>
        <v/>
      </c>
      <c r="F10" s="3" t="inlineStr"/>
      <c r="G10" s="3" t="inlineStr"/>
    </row>
    <row r="11">
      <c r="A11" s="5" t="inlineStr"/>
      <c r="B11" s="6" t="inlineStr"/>
      <c r="C11" s="6" t="inlineStr"/>
      <c r="D11" s="6" t="inlineStr"/>
      <c r="E11" s="6" t="inlineStr"/>
      <c r="F11" s="5" t="inlineStr"/>
      <c r="G11" s="5" t="inlineStr"/>
    </row>
    <row r="12">
      <c r="A12" s="3" t="inlineStr">
        <is>
          <t>RAHA VÄLJA</t>
        </is>
      </c>
      <c r="B12" s="4" t="inlineStr"/>
      <c r="C12" s="4" t="inlineStr"/>
      <c r="D12" s="4" t="inlineStr"/>
      <c r="E12" s="4" t="inlineStr"/>
      <c r="F12" s="3" t="inlineStr"/>
      <c r="G12" s="3" t="inlineStr"/>
    </row>
    <row r="13">
      <c r="A13" s="5" t="inlineStr">
        <is>
          <t>Hemp Authority admin</t>
        </is>
      </c>
      <c r="B13" s="6" t="n">
        <v>3000000</v>
      </c>
      <c r="C13" s="6" t="n">
        <v>4000000</v>
      </c>
      <c r="D13" s="6" t="n">
        <v>5000000</v>
      </c>
      <c r="E13" s="6">
        <f>SUM(B12:D12)</f>
        <v/>
      </c>
      <c r="F13" s="5" t="inlineStr">
        <is>
          <t>80→150 töötajat</t>
        </is>
      </c>
      <c r="G13" s="5" t="inlineStr"/>
    </row>
    <row r="14">
      <c r="A14" s="3" t="inlineStr">
        <is>
          <t>ERMA tegevuskulud</t>
        </is>
      </c>
      <c r="B14" s="4" t="n">
        <v>2800000</v>
      </c>
      <c r="C14" s="4" t="n">
        <v>6500000</v>
      </c>
      <c r="D14" s="4" t="n">
        <v>12000000</v>
      </c>
      <c r="E14" s="4">
        <f>SUM(B13:D13)</f>
        <v/>
      </c>
      <c r="F14" s="3" t="inlineStr">
        <is>
          <t>Tootmine, palgad, liising</t>
        </is>
      </c>
      <c r="G14" s="3" t="inlineStr"/>
    </row>
    <row r="15">
      <c r="A15" s="5" t="inlineStr">
        <is>
          <t>Puukoolide toetused</t>
        </is>
      </c>
      <c r="B15" s="6" t="n">
        <v>300000</v>
      </c>
      <c r="C15" s="6" t="n">
        <v>600000</v>
      </c>
      <c r="D15" s="6" t="n">
        <v>400000</v>
      </c>
      <c r="E15" s="6">
        <f>SUM(B14:D14)</f>
        <v/>
      </c>
      <c r="F15" s="5" t="inlineStr">
        <is>
          <t>Boonused farmeritele</t>
        </is>
      </c>
      <c r="G15" s="5" t="inlineStr"/>
    </row>
    <row r="16">
      <c r="A16" s="3" t="inlineStr">
        <is>
          <t>Sotsiaal/tervise kulud (regulatsioon)</t>
        </is>
      </c>
      <c r="B16" s="4" t="n">
        <v>2000000</v>
      </c>
      <c r="C16" s="4" t="n">
        <v>6000000</v>
      </c>
      <c r="D16" s="4" t="n">
        <v>10000000</v>
      </c>
      <c r="E16" s="4">
        <f>SUM(B15:D15)</f>
        <v/>
      </c>
      <c r="F16" s="3" t="inlineStr">
        <is>
          <t>Julgeolekuteaduste hinnang</t>
        </is>
      </c>
      <c r="G16" s="3" t="inlineStr"/>
    </row>
    <row r="17">
      <c r="A17" s="5" t="inlineStr">
        <is>
          <t>KOKKU VÄLJA</t>
        </is>
      </c>
      <c r="B17" s="6">
        <f>SUM(B12:B15)</f>
        <v/>
      </c>
      <c r="C17" s="6">
        <f>SUM(C12:C15)</f>
        <v/>
      </c>
      <c r="D17" s="6">
        <f>SUM(D12:D15)</f>
        <v/>
      </c>
      <c r="E17" s="6">
        <f>SUM(E12:E15)</f>
        <v/>
      </c>
      <c r="F17" s="5" t="inlineStr"/>
      <c r="G17" s="5" t="inlineStr"/>
    </row>
    <row r="18">
      <c r="A18" s="3" t="inlineStr"/>
      <c r="B18" s="4" t="inlineStr"/>
      <c r="C18" s="4" t="inlineStr"/>
      <c r="D18" s="4" t="inlineStr"/>
      <c r="E18" s="4" t="inlineStr"/>
      <c r="F18" s="3" t="inlineStr"/>
      <c r="G18" s="3" t="inlineStr"/>
    </row>
    <row r="19">
      <c r="A19" s="5" t="inlineStr">
        <is>
          <t>NETO INIMESTELE (Inimeste Fond)</t>
        </is>
      </c>
      <c r="B19" s="6">
        <f>B9-B16</f>
        <v/>
      </c>
      <c r="C19" s="6">
        <f>C9-C16</f>
        <v/>
      </c>
      <c r="D19" s="6">
        <f>D9-D16</f>
        <v/>
      </c>
      <c r="E19" s="6">
        <f>SUM(B18:D18)</f>
        <v/>
      </c>
      <c r="F19" s="5" t="inlineStr">
        <is>
          <t>Jaotatakse rahvale</t>
        </is>
      </c>
      <c r="G19" s="5" t="inlineStr"/>
    </row>
    <row r="20">
      <c r="A20" s="3" t="inlineStr">
        <is>
          <t>Neto €/elanik (1,37M)</t>
        </is>
      </c>
      <c r="B20" s="3">
        <f>B18/1370000</f>
        <v/>
      </c>
      <c r="C20" s="3">
        <f>C18/1370000</f>
        <v/>
      </c>
      <c r="D20" s="3">
        <f>D18/1370000</f>
        <v/>
      </c>
      <c r="E20" s="3" t="inlineStr"/>
      <c r="F20" s="3" t="inlineStr">
        <is>
          <t>Aasta 5: ~68€/inimene</t>
        </is>
      </c>
      <c r="G20" s="3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>
      <c r="A22" s="3" t="inlineStr">
        <is>
          <t>PÕHIMÕTE</t>
        </is>
      </c>
      <c r="B22" s="3" t="inlineStr">
        <is>
          <t>Operation Mirror</t>
        </is>
      </c>
      <c r="C22" s="3" t="inlineStr"/>
      <c r="D22" s="3" t="inlineStr"/>
      <c r="E22" s="3" t="inlineStr"/>
      <c r="F22" s="3" t="inlineStr">
        <is>
          <t>Peegeldab bürokraatiat, ei hävita taristut</t>
        </is>
      </c>
      <c r="G22" s="3" t="inlineStr"/>
    </row>
    <row r="23">
      <c r="A23" s="5" t="inlineStr"/>
      <c r="B23" s="5" t="inlineStr">
        <is>
          <t>Hemp Authority</t>
        </is>
      </c>
      <c r="C23" s="5" t="inlineStr"/>
      <c r="D23" s="5" t="inlineStr"/>
      <c r="E23" s="5" t="inlineStr"/>
      <c r="F23" s="5" t="inlineStr">
        <is>
          <t>Maksab enda eest A3-st</t>
        </is>
      </c>
      <c r="G23" s="5" t="inlineStr"/>
    </row>
    <row r="24">
      <c r="A24" s="3" t="inlineStr"/>
      <c r="B24" s="3" t="inlineStr">
        <is>
          <t>Inimeste Fond</t>
        </is>
      </c>
      <c r="C24" s="3" t="inlineStr"/>
      <c r="D24" s="3" t="inlineStr"/>
      <c r="E24" s="3" t="inlineStr"/>
      <c r="F24" s="3" t="inlineStr">
        <is>
          <t>Dalio: 18 voogu; macro 40/30/20/10</t>
        </is>
      </c>
      <c r="G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4" customWidth="1" min="4" max="4"/>
    <col width="40" customWidth="1" min="5" max="5"/>
  </cols>
  <sheetData>
    <row r="1" ht="32" customHeight="1">
      <c r="A1" s="1" t="inlineStr">
        <is>
          <t>KLIIMAMINISTEERIUM 2025 — MIDA SAAB PÖÖRATA</t>
        </is>
      </c>
    </row>
    <row r="3">
      <c r="A3" s="2" t="inlineStr">
        <is>
          <t>Programm / kulu</t>
        </is>
      </c>
      <c r="B3" s="2" t="inlineStr">
        <is>
          <t>Eelarve 2025</t>
        </is>
      </c>
      <c r="C3" s="2" t="inlineStr">
        <is>
          <t>Pivot?</t>
        </is>
      </c>
      <c r="D3" s="2" t="inlineStr">
        <is>
          <t>Realistlik sääst</t>
        </is>
      </c>
      <c r="E3" s="2" t="inlineStr">
        <is>
          <t>Selgitus</t>
        </is>
      </c>
    </row>
    <row r="4">
      <c r="A4" s="3" t="inlineStr">
        <is>
          <t>KOKKU valitsemisala</t>
        </is>
      </c>
      <c r="B4" s="4" t="n">
        <v>1061402000</v>
      </c>
      <c r="C4" s="3" t="inlineStr">
        <is>
          <t>—</t>
        </is>
      </c>
      <c r="D4" s="3" t="inlineStr">
        <is>
          <t>—</t>
        </is>
      </c>
      <c r="E4" s="3" t="inlineStr">
        <is>
          <t>Riigieelarve andmed</t>
        </is>
      </c>
    </row>
    <row r="5">
      <c r="A5" s="5" t="inlineStr">
        <is>
          <t>Transpordi programm (Rail Baltica, teed)</t>
        </is>
      </c>
      <c r="B5" s="6" t="n">
        <v>643949000</v>
      </c>
      <c r="C5" s="5" t="inlineStr">
        <is>
          <t>EI</t>
        </is>
      </c>
      <c r="D5" s="5" t="n">
        <v>0</v>
      </c>
      <c r="E5" s="5" t="inlineStr">
        <is>
          <t>Taristu — ei puutu</t>
        </is>
      </c>
    </row>
    <row r="6">
      <c r="A6" s="3" t="inlineStr">
        <is>
          <t>Elukeskkond + ehitus</t>
        </is>
      </c>
      <c r="B6" s="4" t="n">
        <v>162117000</v>
      </c>
      <c r="C6" s="3" t="inlineStr">
        <is>
          <t>OSALISELT</t>
        </is>
      </c>
      <c r="D6" s="4" t="n">
        <v>8000000</v>
      </c>
      <c r="E6" s="3" t="inlineStr">
        <is>
          <t>Streamline, mitte kustuta</t>
        </is>
      </c>
    </row>
    <row r="7">
      <c r="A7" s="5" t="inlineStr">
        <is>
          <t>Kliima + energia + elurikkus</t>
        </is>
      </c>
      <c r="B7" s="6" t="n">
        <v>171763000</v>
      </c>
      <c r="C7" s="5" t="inlineStr">
        <is>
          <t>JAH</t>
        </is>
      </c>
      <c r="D7" s="6" t="n">
        <v>15000000</v>
      </c>
      <c r="E7" s="5" t="inlineStr">
        <is>
          <t>Pivot zone — kanep asendab osa</t>
        </is>
      </c>
    </row>
    <row r="8">
      <c r="A8" s="3" t="inlineStr">
        <is>
          <t>Mere + vesi</t>
        </is>
      </c>
      <c r="B8" s="4" t="n">
        <v>63909000</v>
      </c>
      <c r="C8" s="3" t="inlineStr">
        <is>
          <t>EI</t>
        </is>
      </c>
      <c r="D8" s="3" t="n">
        <v>0</v>
      </c>
      <c r="E8" s="3" t="inlineStr">
        <is>
          <t>Essential services</t>
        </is>
      </c>
    </row>
    <row r="9">
      <c r="A9" s="5" t="inlineStr">
        <is>
          <t>Ministeeriumi admin (~308 töötajat)</t>
        </is>
      </c>
      <c r="B9" s="6" t="n">
        <v>20000000</v>
      </c>
      <c r="C9" s="5" t="inlineStr">
        <is>
          <t>JAH</t>
        </is>
      </c>
      <c r="D9" s="6" t="n">
        <v>12000000</v>
      </c>
      <c r="E9" s="5" t="inlineStr">
        <is>
          <t>Operation Mirror sihtmärk</t>
        </is>
      </c>
    </row>
    <row r="10">
      <c r="A10" s="3" t="inlineStr">
        <is>
          <t>Rohereformi bürokraatia</t>
        </is>
      </c>
      <c r="B10" s="4" t="n">
        <v>34746000</v>
      </c>
      <c r="C10" s="3" t="inlineStr">
        <is>
          <t>JAH</t>
        </is>
      </c>
      <c r="D10" s="4" t="n">
        <v>8000000</v>
      </c>
      <c r="E10" s="3" t="inlineStr">
        <is>
          <t>PDF → taimed</t>
        </is>
      </c>
    </row>
    <row r="11">
      <c r="A11" s="5" t="inlineStr"/>
      <c r="B11" s="6" t="inlineStr"/>
      <c r="C11" s="5" t="inlineStr"/>
      <c r="D11" s="5" t="inlineStr"/>
      <c r="E11" s="5" t="inlineStr"/>
    </row>
    <row r="12">
      <c r="A12" s="3" t="inlineStr">
        <is>
          <t>REALISTLIK KOKKU SÄÄST</t>
        </is>
      </c>
      <c r="B12" s="4" t="inlineStr"/>
      <c r="C12" s="3" t="inlineStr"/>
      <c r="D12" s="4" t="n">
        <v>35000000</v>
      </c>
      <c r="E12" s="3" t="inlineStr">
        <is>
          <t>Aasta 5 eesmärk</t>
        </is>
      </c>
    </row>
    <row r="13">
      <c r="A13" s="5" t="inlineStr">
        <is>
          <t>MIDA EI PUUTU</t>
        </is>
      </c>
      <c r="B13" s="6" t="inlineStr"/>
      <c r="C13" s="5" t="inlineStr"/>
      <c r="D13" s="6" t="n">
        <v>707858000</v>
      </c>
      <c r="E13" s="5" t="inlineStr">
        <is>
          <t>Transport + vesi + meri</t>
        </is>
      </c>
    </row>
    <row r="14">
      <c r="A14" s="3" t="n"/>
      <c r="B14" s="3" t="n"/>
      <c r="C14" s="3" t="n"/>
      <c r="D14" s="3" t="n"/>
      <c r="E14" s="3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36" customWidth="1" min="6" max="6"/>
  </cols>
  <sheetData>
    <row r="1" ht="32" customHeight="1">
      <c r="A1" s="1" t="inlineStr">
        <is>
          <t>4 RAHAALLIKAT — KUST RAHA TULEB</t>
        </is>
      </c>
    </row>
    <row r="3">
      <c r="A3" s="2" t="inlineStr">
        <is>
          <t>Allikas</t>
        </is>
      </c>
      <c r="B3" s="7" t="inlineStr">
        <is>
          <t>A1</t>
        </is>
      </c>
      <c r="C3" s="7" t="inlineStr">
        <is>
          <t>A3</t>
        </is>
      </c>
      <c r="D3" s="7" t="inlineStr">
        <is>
          <t>A5</t>
        </is>
      </c>
      <c r="E3" s="7" t="inlineStr">
        <is>
          <t>Kumulatiivne</t>
        </is>
      </c>
      <c r="F3" s="2" t="inlineStr">
        <is>
          <t>Kuidas</t>
        </is>
      </c>
    </row>
    <row r="4">
      <c r="A4" s="3" t="inlineStr">
        <is>
          <t>1. MUST TURG → REGULEERITUD</t>
        </is>
      </c>
      <c r="B4" s="3" t="inlineStr"/>
      <c r="C4" s="3" t="inlineStr"/>
      <c r="D4" s="3" t="inlineStr"/>
      <c r="E4" s="3" t="inlineStr"/>
      <c r="F4" s="3" t="inlineStr"/>
    </row>
    <row r="5">
      <c r="A5" s="5" t="inlineStr">
        <is>
          <t>Tarbijate kulutus (must turg)</t>
        </is>
      </c>
      <c r="B5" s="5" t="n">
        <v>56000000</v>
      </c>
      <c r="C5" s="5" t="n">
        <v>80000000</v>
      </c>
      <c r="D5" s="5" t="n">
        <v>120000000</v>
      </c>
      <c r="E5" s="5">
        <f>SUM(B3:D3)</f>
        <v/>
      </c>
      <c r="F5" s="5" t="inlineStr">
        <is>
          <t>56M uuring / 172M petitsioon</t>
        </is>
      </c>
    </row>
    <row r="6">
      <c r="A6" s="3" t="inlineStr">
        <is>
          <t>Riigile (maksud + säästud)</t>
        </is>
      </c>
      <c r="B6" s="3" t="n">
        <v>0</v>
      </c>
      <c r="C6" s="3" t="n">
        <v>18000000</v>
      </c>
      <c r="D6" s="3" t="n">
        <v>46000000</v>
      </c>
      <c r="E6" s="3">
        <f>SUM(B4:D4)</f>
        <v/>
      </c>
      <c r="F6" s="3" t="inlineStr">
        <is>
          <t>15% aktsiis + KM + politsei</t>
        </is>
      </c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3" t="inlineStr">
        <is>
          <t>2. OPERATION MIRROR</t>
        </is>
      </c>
      <c r="B8" s="3" t="inlineStr"/>
      <c r="C8" s="3" t="inlineStr"/>
      <c r="D8" s="3" t="inlineStr"/>
      <c r="E8" s="3" t="inlineStr"/>
      <c r="F8" s="3" t="inlineStr"/>
    </row>
    <row r="9">
      <c r="A9" s="5" t="inlineStr">
        <is>
          <t>Bürokraatia säästud</t>
        </is>
      </c>
      <c r="B9" s="5" t="n">
        <v>5000000</v>
      </c>
      <c r="C9" s="5" t="n">
        <v>20000000</v>
      </c>
      <c r="D9" s="5" t="n">
        <v>35000000</v>
      </c>
      <c r="E9" s="5">
        <f>SUM(B7:D7)</f>
        <v/>
      </c>
      <c r="F9" s="5" t="inlineStr">
        <is>
          <t>Ministeeriumide peegeldamine</t>
        </is>
      </c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5" t="inlineStr">
        <is>
          <t>3. ERMA RIIGIETTEVÕTE</t>
        </is>
      </c>
      <c r="B11" s="5" t="inlineStr"/>
      <c r="C11" s="5" t="inlineStr"/>
      <c r="D11" s="5" t="inlineStr"/>
      <c r="E11" s="5" t="inlineStr"/>
      <c r="F11" s="5" t="inlineStr"/>
    </row>
    <row r="12">
      <c r="A12" s="3" t="inlineStr">
        <is>
          <t>ERMA tulud</t>
        </is>
      </c>
      <c r="B12" s="4" t="n">
        <v>1200000</v>
      </c>
      <c r="C12" s="4" t="n">
        <v>12000000</v>
      </c>
      <c r="D12" s="4" t="n">
        <v>35000000</v>
      </c>
      <c r="E12" s="4">
        <f>SUM(B10:D10)</f>
        <v/>
      </c>
      <c r="F12" s="3" t="inlineStr">
        <is>
          <t>Growshop, tööstus, liising</t>
        </is>
      </c>
    </row>
    <row r="13">
      <c r="A13" s="5" t="inlineStr">
        <is>
          <t>ERMA kasum</t>
        </is>
      </c>
      <c r="B13" s="5" t="n">
        <v>-1600000</v>
      </c>
      <c r="C13" s="5" t="n">
        <v>5500000</v>
      </c>
      <c r="D13" s="5" t="n">
        <v>23000000</v>
      </c>
      <c r="E13" s="5">
        <f>SUM(B11:D11)</f>
        <v/>
      </c>
      <c r="F13" s="5" t="inlineStr">
        <is>
          <t>Vaba kassa A5+</t>
        </is>
      </c>
    </row>
    <row r="14">
      <c r="A14" s="3" t="inlineStr">
        <is>
          <t>Riigikassasse</t>
        </is>
      </c>
      <c r="B14" s="3" t="n">
        <v>0</v>
      </c>
      <c r="C14" s="3" t="n">
        <v>1800000</v>
      </c>
      <c r="D14" s="3" t="n">
        <v>7500000</v>
      </c>
      <c r="E14" s="3">
        <f>SUM(B12:D12)</f>
        <v/>
      </c>
      <c r="F14" s="3" t="inlineStr">
        <is>
          <t>Maksud + dividendid</t>
        </is>
      </c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3" t="inlineStr">
        <is>
          <t>4. OLEMASOLEVAD VAHENDID</t>
        </is>
      </c>
      <c r="B16" s="3" t="inlineStr"/>
      <c r="C16" s="3" t="inlineStr"/>
      <c r="D16" s="3" t="inlineStr"/>
      <c r="E16" s="3" t="inlineStr"/>
      <c r="F16" s="3" t="inlineStr"/>
    </row>
    <row r="17">
      <c r="A17" s="5" t="inlineStr">
        <is>
          <t>LEADER + EAS + CAP + KIK</t>
        </is>
      </c>
      <c r="B17" s="6" t="n">
        <v>2000000</v>
      </c>
      <c r="C17" s="6" t="n">
        <v>3000000</v>
      </c>
      <c r="D17" s="6" t="n">
        <v>5000000</v>
      </c>
      <c r="E17" s="6">
        <f>SUM(B15:D15)</f>
        <v/>
      </c>
      <c r="F17" s="5" t="inlineStr">
        <is>
          <t>Ilma uue maksuta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t="inlineStr">
        <is>
          <t>KOKKU RIIGILE A5</t>
        </is>
      </c>
      <c r="B19">
        <f>B4+B7+B12+B15</f>
        <v/>
      </c>
      <c r="C19">
        <f>C4+C7+C12+C15</f>
        <v/>
      </c>
      <c r="D19">
        <f>D4+D7+D12+D15</f>
        <v/>
      </c>
      <c r="E19">
        <f>SUM(B17:D17)</f>
        <v/>
      </c>
      <c r="F19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 ht="32" customHeight="1">
      <c r="A1" s="1" t="inlineStr">
        <is>
          <t>VANA MUDEL vs HEMP AUTHORITY</t>
        </is>
      </c>
    </row>
    <row r="3">
      <c r="A3" s="2" t="inlineStr">
        <is>
          <t>Näitaja</t>
        </is>
      </c>
      <c r="B3" s="2" t="inlineStr">
        <is>
          <t>Kliimaministeerium (lõik)</t>
        </is>
      </c>
      <c r="C3" s="2" t="inlineStr">
        <is>
          <t>Hemp Authority + ERMA</t>
        </is>
      </c>
      <c r="D3" s="2" t="inlineStr">
        <is>
          <t>Erinevus A5</t>
        </is>
      </c>
      <c r="E3" s="2" t="inlineStr">
        <is>
          <t>Märkus</t>
        </is>
      </c>
    </row>
    <row r="4">
      <c r="A4" s="3" t="inlineStr">
        <is>
          <t>Töötajad</t>
        </is>
      </c>
      <c r="B4" s="4" t="n">
        <v>308</v>
      </c>
      <c r="C4" s="4" t="n">
        <v>150</v>
      </c>
      <c r="D4" s="4" t="n">
        <v>-158</v>
      </c>
      <c r="E4" s="3" t="inlineStr">
        <is>
          <t>Lean team</t>
        </is>
      </c>
    </row>
    <row r="5">
      <c r="A5" s="5" t="inlineStr">
        <is>
          <t>Admin kulu/a</t>
        </is>
      </c>
      <c r="B5" s="6" t="n">
        <v>20000000</v>
      </c>
      <c r="C5" s="6" t="n">
        <v>5000000</v>
      </c>
      <c r="D5" s="6" t="n">
        <v>-15000000</v>
      </c>
      <c r="E5" s="5" t="inlineStr">
        <is>
          <t>80% vähem bürokraatiat</t>
        </is>
      </c>
    </row>
    <row r="6">
      <c r="A6" s="3" t="inlineStr">
        <is>
          <t>Tulu riigile/a</t>
        </is>
      </c>
      <c r="B6" s="4" t="n">
        <v>0</v>
      </c>
      <c r="C6" s="4" t="n">
        <v>53000000</v>
      </c>
      <c r="D6" s="4" t="n">
        <v>53000000</v>
      </c>
      <c r="E6" s="3" t="inlineStr">
        <is>
          <t>46M maksud + 7.5M ERMA</t>
        </is>
      </c>
    </row>
    <row r="7">
      <c r="A7" s="5" t="inlineStr">
        <is>
          <t>Neto rahvale/a</t>
        </is>
      </c>
      <c r="B7" s="6" t="n">
        <v>-20000000</v>
      </c>
      <c r="C7" s="6" t="n">
        <v>48000000</v>
      </c>
      <c r="D7" s="6" t="n">
        <v>68000000</v>
      </c>
      <c r="E7" s="5" t="inlineStr">
        <is>
          <t>Maksab enda + jagab</t>
        </is>
      </c>
    </row>
    <row r="8">
      <c r="A8" s="3" t="inlineStr">
        <is>
          <t>Töökohti loodud</t>
        </is>
      </c>
      <c r="B8" s="4" t="n">
        <v>0</v>
      </c>
      <c r="C8" s="4" t="n">
        <v>650</v>
      </c>
      <c r="D8" s="4" t="n">
        <v>650</v>
      </c>
      <c r="E8" s="3" t="inlineStr">
        <is>
          <t>ERMA võrgustik</t>
        </is>
      </c>
    </row>
    <row r="9">
      <c r="A9" s="5" t="inlineStr">
        <is>
          <t>Must turg</t>
        </is>
      </c>
      <c r="B9" s="5" t="inlineStr">
        <is>
          <t>100% must</t>
        </is>
      </c>
      <c r="C9" s="5" t="inlineStr">
        <is>
          <t>30% must A5</t>
        </is>
      </c>
      <c r="D9" s="5" t="inlineStr">
        <is>
          <t>—</t>
        </is>
      </c>
      <c r="E9" s="5" t="inlineStr">
        <is>
          <t>Reguleerimine vähendab</t>
        </is>
      </c>
    </row>
    <row r="10">
      <c r="A10" s="3" t="inlineStr">
        <is>
          <t>Päikesepargid</t>
        </is>
      </c>
      <c r="B10" s="3" t="inlineStr">
        <is>
          <t>40M invest (riik maksab)</t>
        </is>
      </c>
      <c r="C10" s="3" t="inlineStr">
        <is>
          <t>28M fondist (tulu maksab)</t>
        </is>
      </c>
      <c r="D10" s="3" t="inlineStr">
        <is>
          <t>—</t>
        </is>
      </c>
      <c r="E10" s="3" t="inlineStr">
        <is>
          <t>Self-funding</t>
        </is>
      </c>
    </row>
    <row r="11">
      <c r="A11" s="5" t="inlineStr">
        <is>
          <t>Basic income pilot</t>
        </is>
      </c>
      <c r="B11" s="6" t="n">
        <v>0</v>
      </c>
      <c r="C11" s="5" t="inlineStr">
        <is>
          <t>10 000 × 200€/kuu</t>
        </is>
      </c>
      <c r="D11" s="5" t="inlineStr">
        <is>
          <t>24M/a</t>
        </is>
      </c>
      <c r="E11" s="5" t="inlineStr">
        <is>
          <t>Inimeste Fondist</t>
        </is>
      </c>
    </row>
    <row r="12">
      <c r="A12" s="3" t="n"/>
      <c r="B12" s="3" t="n"/>
      <c r="C12" s="3" t="n"/>
      <c r="D12" s="3" t="n"/>
      <c r="E12" s="3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40" customWidth="1" min="4" max="4"/>
  </cols>
  <sheetData>
    <row r="1" ht="32" customHeight="1">
      <c r="A1" s="1" t="inlineStr">
        <is>
          <t>AASTA 5 (2030) — TÄIELIK RAHA VOOG</t>
        </is>
      </c>
    </row>
    <row r="3">
      <c r="A3" s="2" t="inlineStr"/>
      <c r="B3" s="7" t="inlineStr">
        <is>
          <t>Summa</t>
        </is>
      </c>
      <c r="C3" s="2" t="inlineStr">
        <is>
          <t>%</t>
        </is>
      </c>
      <c r="D3" s="2" t="inlineStr">
        <is>
          <t>Selgitus</t>
        </is>
      </c>
    </row>
    <row r="4">
      <c r="A4" s="3" t="inlineStr">
        <is>
          <t>RAHA SISSE</t>
        </is>
      </c>
      <c r="B4" s="4" t="inlineStr"/>
      <c r="C4" s="3" t="inlineStr"/>
      <c r="D4" s="3" t="inlineStr"/>
    </row>
    <row r="5">
      <c r="A5" s="5" t="inlineStr">
        <is>
          <t>Reguleeritud turu maksud</t>
        </is>
      </c>
      <c r="B5" s="6" t="n">
        <v>46000000</v>
      </c>
      <c r="C5" s="8" t="n">
        <v>0.37</v>
      </c>
      <c r="D5" s="5" t="inlineStr">
        <is>
          <t>KM + aktsiis + tööjõumaksud</t>
        </is>
      </c>
    </row>
    <row r="6">
      <c r="A6" s="3" t="inlineStr">
        <is>
          <t>ERMA kasum + dividendid</t>
        </is>
      </c>
      <c r="B6" s="4" t="n">
        <v>7500000</v>
      </c>
      <c r="C6" s="9" t="n">
        <v>0.06</v>
      </c>
      <c r="D6" s="3" t="inlineStr">
        <is>
          <t>Riigiettevõte</t>
        </is>
      </c>
    </row>
    <row r="7">
      <c r="A7" s="5" t="inlineStr">
        <is>
          <t>Operation Mirror säästud</t>
        </is>
      </c>
      <c r="B7" s="6" t="n">
        <v>35000000</v>
      </c>
      <c r="C7" s="8" t="n">
        <v>0.28</v>
      </c>
      <c r="D7" s="5" t="inlineStr">
        <is>
          <t>Bürokraatia</t>
        </is>
      </c>
    </row>
    <row r="8">
      <c r="A8" s="3" t="inlineStr">
        <is>
          <t>Tööstuskanep maksud</t>
        </is>
      </c>
      <c r="B8" s="4" t="n">
        <v>15000000</v>
      </c>
      <c r="C8" s="9" t="n">
        <v>0.12</v>
      </c>
      <c r="D8" s="3" t="inlineStr">
        <is>
          <t>Eksport + kohalik</t>
        </is>
      </c>
    </row>
    <row r="9">
      <c r="A9" s="5" t="inlineStr">
        <is>
          <t>EL vahendid</t>
        </is>
      </c>
      <c r="B9" s="5" t="n">
        <v>5000000</v>
      </c>
      <c r="C9" s="8" t="n">
        <v>0.04</v>
      </c>
      <c r="D9" s="5" t="inlineStr">
        <is>
          <t>LEADER, CAP jne</t>
        </is>
      </c>
    </row>
    <row r="10">
      <c r="A10" s="3" t="inlineStr">
        <is>
          <t>Muu (turism, koolitus)</t>
        </is>
      </c>
      <c r="B10" s="4" t="n">
        <v>3000000</v>
      </c>
      <c r="C10" s="9" t="n">
        <v>0.02</v>
      </c>
      <c r="D10" s="3" t="inlineStr"/>
    </row>
    <row r="11">
      <c r="A11" s="5" t="inlineStr">
        <is>
          <t>KOKKU SISSE</t>
        </is>
      </c>
      <c r="B11" s="6">
        <f>SUM(B3:B8)</f>
        <v/>
      </c>
      <c r="C11" s="8" t="n">
        <v>1</v>
      </c>
      <c r="D11" s="5" t="inlineStr">
        <is>
          <t>≈ 111M €</t>
        </is>
      </c>
    </row>
    <row r="12">
      <c r="A12" s="3" t="inlineStr"/>
      <c r="B12" s="4" t="inlineStr"/>
      <c r="C12" s="3" t="inlineStr"/>
      <c r="D12" s="3" t="inlineStr"/>
    </row>
    <row r="13">
      <c r="A13" s="5" t="inlineStr">
        <is>
          <t>RAHA VÄLJA</t>
        </is>
      </c>
      <c r="B13" s="6" t="inlineStr"/>
      <c r="C13" s="5" t="inlineStr"/>
      <c r="D13" s="5" t="inlineStr"/>
    </row>
    <row r="14">
      <c r="A14" s="3" t="inlineStr">
        <is>
          <t>Hemp Authority admin</t>
        </is>
      </c>
      <c r="B14" s="4" t="n">
        <v>5000000</v>
      </c>
      <c r="C14" s="9" t="n">
        <v>0.05</v>
      </c>
      <c r="D14" s="3" t="inlineStr"/>
    </row>
    <row r="15">
      <c r="A15" s="5" t="inlineStr">
        <is>
          <t>ERMA tegevuskulud</t>
        </is>
      </c>
      <c r="B15" s="5" t="n">
        <v>12000000</v>
      </c>
      <c r="C15" s="8" t="n">
        <v>0.11</v>
      </c>
      <c r="D15" s="5" t="inlineStr"/>
    </row>
    <row r="16">
      <c r="A16" s="3" t="inlineStr">
        <is>
          <t>Puukoolide toetused</t>
        </is>
      </c>
      <c r="B16" s="4" t="n">
        <v>400000</v>
      </c>
      <c r="C16" s="3" t="n">
        <v>0</v>
      </c>
      <c r="D16" s="3" t="inlineStr"/>
    </row>
    <row r="17">
      <c r="A17" s="5" t="inlineStr">
        <is>
          <t>Sotsiaal/tervise kulud</t>
        </is>
      </c>
      <c r="B17" s="6" t="n">
        <v>10000000</v>
      </c>
      <c r="C17" s="8" t="n">
        <v>0.09</v>
      </c>
      <c r="D17" s="5" t="inlineStr"/>
    </row>
    <row r="18">
      <c r="A18" s="3" t="inlineStr">
        <is>
          <t>KOKKU VÄLJA</t>
        </is>
      </c>
      <c r="B18" s="4">
        <f>SUM(B11:B14)</f>
        <v/>
      </c>
      <c r="C18" s="9" t="n">
        <v>0.25</v>
      </c>
      <c r="D18" s="3" t="inlineStr">
        <is>
          <t>≈ 27M €</t>
        </is>
      </c>
    </row>
    <row r="19">
      <c r="A19" s="5" t="inlineStr"/>
      <c r="B19" s="6" t="inlineStr"/>
      <c r="C19" s="5" t="inlineStr"/>
      <c r="D19" s="5" t="inlineStr"/>
    </row>
    <row r="20">
      <c r="A20" t="inlineStr">
        <is>
          <t>NETO INIMESTELE</t>
        </is>
      </c>
      <c r="B20">
        <f>B9-B15</f>
        <v/>
      </c>
      <c r="C20" t="n">
        <v>0.75</v>
      </c>
      <c r="D20" t="inlineStr">
        <is>
          <t>≈ 84M €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32" customWidth="1" min="5" max="5"/>
  </cols>
  <sheetData>
    <row r="1" ht="32" customHeight="1">
      <c r="A1" s="1" t="inlineStr">
        <is>
          <t>INIMESTE FOND — KUHU NETO LÄHEB (A5)</t>
        </is>
      </c>
    </row>
    <row r="3">
      <c r="A3" s="10" t="inlineStr">
        <is>
          <t>Kategooria</t>
        </is>
      </c>
      <c r="B3" s="10" t="inlineStr">
        <is>
          <t>%</t>
        </is>
      </c>
      <c r="C3" s="10" t="inlineStr">
        <is>
          <t>Summa A5</t>
        </is>
      </c>
      <c r="D3" s="10" t="inlineStr">
        <is>
          <t>Mida ostab</t>
        </is>
      </c>
      <c r="E3" s="10" t="inlineStr">
        <is>
          <t>Näide</t>
        </is>
      </c>
    </row>
    <row r="4">
      <c r="A4" s="3" t="inlineStr">
        <is>
          <t>Päikesepargid + salvestus</t>
        </is>
      </c>
      <c r="B4" s="9" t="n">
        <v>0.4</v>
      </c>
      <c r="C4" s="4">
        <f>C9*0.4</f>
        <v/>
      </c>
      <c r="D4" s="3" t="inlineStr">
        <is>
          <t>8× 5MW parki</t>
        </is>
      </c>
      <c r="E4" s="3" t="inlineStr">
        <is>
          <t>28M € — odavam elekter</t>
        </is>
      </c>
    </row>
    <row r="5">
      <c r="A5" s="5" t="inlineStr">
        <is>
          <t>Tööstus + robotid</t>
        </is>
      </c>
      <c r="B5" s="8" t="n">
        <v>0.3</v>
      </c>
      <c r="C5" s="6">
        <f>C9*0.3</f>
        <v/>
      </c>
      <c r="D5" s="5" t="inlineStr">
        <is>
          <t>Liisingumasinad</t>
        </is>
      </c>
      <c r="E5" s="5" t="inlineStr">
        <is>
          <t>1000 robotit / automatiseerimine</t>
        </is>
      </c>
    </row>
    <row r="6">
      <c r="A6" s="3" t="inlineStr">
        <is>
          <t>Basic income pilot</t>
        </is>
      </c>
      <c r="B6" s="9" t="n">
        <v>0.2</v>
      </c>
      <c r="C6" s="4">
        <f>C9*0.2</f>
        <v/>
      </c>
      <c r="D6" s="3" t="inlineStr">
        <is>
          <t>10 000 inimest</t>
        </is>
      </c>
      <c r="E6" s="3" t="inlineStr">
        <is>
          <t>200 €/kuu × 12 = 24M</t>
        </is>
      </c>
    </row>
    <row r="7">
      <c r="A7" s="5" t="inlineStr">
        <is>
          <t>Haridus + koolid + loodus</t>
        </is>
      </c>
      <c r="B7" s="8" t="n">
        <v>0.1</v>
      </c>
      <c r="C7" s="6">
        <f>C9*0.1</f>
        <v/>
      </c>
      <c r="D7" s="5" t="inlineStr">
        <is>
          <t>Kooli aiad, karjäär</t>
        </is>
      </c>
      <c r="E7" s="5" t="inlineStr">
        <is>
          <t>Urban farm, kutsekool</t>
        </is>
      </c>
    </row>
    <row r="8">
      <c r="A8" s="3" t="inlineStr"/>
      <c r="B8" s="3" t="inlineStr"/>
      <c r="C8" s="3" t="inlineStr"/>
      <c r="D8" s="3" t="inlineStr"/>
      <c r="E8" s="3" t="inlineStr"/>
    </row>
    <row r="9">
      <c r="A9" s="5" t="inlineStr">
        <is>
          <t>NETO FONDI SUURUS A5</t>
        </is>
      </c>
      <c r="B9" s="5" t="inlineStr"/>
      <c r="C9" s="6">
        <f>B9</f>
        <v/>
      </c>
      <c r="D9" s="5" t="inlineStr"/>
      <c r="E9" s="5" t="inlineStr">
        <is>
          <t>Eelarve real B9 lehel Aasta 5</t>
        </is>
      </c>
    </row>
    <row r="10">
      <c r="A10" s="3" t="inlineStr"/>
      <c r="B10" s="3" t="inlineStr"/>
      <c r="C10" s="3" t="inlineStr"/>
      <c r="D10" s="3" t="inlineStr"/>
      <c r="E10" s="3" t="inlineStr"/>
    </row>
    <row r="11">
      <c r="A11" s="5" t="inlineStr">
        <is>
          <t>Per capita (1,37M elanikku)</t>
        </is>
      </c>
      <c r="B11" s="5" t="inlineStr"/>
      <c r="C11" s="6">
        <f>B9/1370000</f>
        <v/>
      </c>
      <c r="D11" s="5" t="inlineStr">
        <is>
          <t>€/aasta/inimene</t>
        </is>
      </c>
      <c r="E11" s="5" t="inlineStr"/>
    </row>
    <row r="12">
      <c r="A12" s="3" t="inlineStr">
        <is>
          <t>BI pilot inimeste arv</t>
        </is>
      </c>
      <c r="B12" s="3" t="n">
        <v>10000</v>
      </c>
      <c r="C12" s="3" t="inlineStr"/>
      <c r="D12" s="3" t="inlineStr">
        <is>
          <t>200€/kuu</t>
        </is>
      </c>
      <c r="E12" s="3" t="inlineStr">
        <is>
          <t>24M/a</t>
        </is>
      </c>
    </row>
    <row r="13">
      <c r="A13" s="5" t="inlineStr">
        <is>
          <t>Töökohad loodud</t>
        </is>
      </c>
      <c r="B13" s="5" t="n">
        <v>650</v>
      </c>
      <c r="C13" s="5" t="inlineStr"/>
      <c r="D13" s="5" t="inlineStr">
        <is>
          <t>ERMA võrgustik</t>
        </is>
      </c>
      <c r="E13" s="5" t="inlineStr"/>
    </row>
    <row r="14">
      <c r="A14" t="inlineStr">
        <is>
          <t>Päikesevõimsus MW</t>
        </is>
      </c>
      <c r="B14" t="n">
        <v>40</v>
      </c>
      <c r="C14" t="inlineStr"/>
      <c r="D14" t="inlineStr">
        <is>
          <t>8 parki × 5MW</t>
        </is>
      </c>
      <c r="E14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</cols>
  <sheetData>
    <row r="1" ht="32" customHeight="1">
      <c r="A1" s="1" t="inlineStr">
        <is>
          <t>5-SAMMULINE PIVOT — KUIDAS TEHA</t>
        </is>
      </c>
    </row>
    <row r="3">
      <c r="A3" s="2" t="inlineStr">
        <is>
          <t>Samm</t>
        </is>
      </c>
      <c r="B3" s="2" t="inlineStr">
        <is>
          <t>Aeg</t>
        </is>
      </c>
      <c r="C3" s="2" t="inlineStr">
        <is>
          <t>Vaja raha</t>
        </is>
      </c>
      <c r="D3" s="2" t="inlineStr">
        <is>
          <t>Kust tuleb</t>
        </is>
      </c>
      <c r="E3" s="2" t="inlineStr">
        <is>
          <t>Tulemus</t>
        </is>
      </c>
      <c r="F3" s="2" t="inlineStr">
        <is>
          <t>Risk</t>
        </is>
      </c>
      <c r="G3" s="2" t="inlineStr">
        <is>
          <t>Tegevus</t>
        </is>
      </c>
    </row>
    <row r="4">
      <c r="A4" s="3" t="inlineStr">
        <is>
          <t>1</t>
        </is>
      </c>
      <c r="B4" s="3" t="inlineStr">
        <is>
          <t>Kohe</t>
        </is>
      </c>
      <c r="C4" s="3" t="n">
        <v>0</v>
      </c>
      <c r="D4" s="3" t="inlineStr">
        <is>
          <t>Tarbijaliikumine</t>
        </is>
      </c>
      <c r="E4" s="3" t="inlineStr">
        <is>
          <t>Nõudlus nähtav</t>
        </is>
      </c>
      <c r="F4" s="3" t="inlineStr">
        <is>
          <t>Madal</t>
        </is>
      </c>
      <c r="G4" s="3" t="inlineStr">
        <is>
          <t>Osta Eesti, räägi 3 sõbrale</t>
        </is>
      </c>
    </row>
    <row r="5">
      <c r="A5" s="5" t="inlineStr">
        <is>
          <t>2</t>
        </is>
      </c>
      <c r="B5" s="5" t="inlineStr">
        <is>
          <t>6 kuud</t>
        </is>
      </c>
      <c r="C5" s="6" t="n">
        <v>500000</v>
      </c>
      <c r="D5" s="5" t="inlineStr">
        <is>
          <t>EAS 200k + LEADER 150k + partner 150k</t>
        </is>
      </c>
      <c r="E5" s="5" t="inlineStr">
        <is>
          <t>ERMA piloot</t>
        </is>
      </c>
      <c r="F5" s="5" t="inlineStr">
        <is>
          <t>Madal</t>
        </is>
      </c>
      <c r="G5" s="5" t="inlineStr">
        <is>
          <t>3 puukooli, bränd</t>
        </is>
      </c>
    </row>
    <row r="6">
      <c r="A6" s="3" t="inlineStr">
        <is>
          <t>3</t>
        </is>
      </c>
      <c r="B6" s="3" t="inlineStr">
        <is>
          <t>A1 (2026)</t>
        </is>
      </c>
      <c r="C6" s="4" t="n">
        <v>2800000</v>
      </c>
      <c r="D6" s="3" t="inlineStr">
        <is>
          <t>EL vahendid + laen + ERMA</t>
        </is>
      </c>
      <c r="E6" s="3" t="inlineStr">
        <is>
          <t>45 töökohta</t>
        </is>
      </c>
      <c r="F6" s="3" t="inlineStr">
        <is>
          <t>Keskmine</t>
        </is>
      </c>
      <c r="G6" s="3" t="inlineStr">
        <is>
          <t>5 growshopi, klaster</t>
        </is>
      </c>
    </row>
    <row r="7">
      <c r="A7" s="5" t="inlineStr">
        <is>
          <t>4</t>
        </is>
      </c>
      <c r="B7" s="5" t="inlineStr">
        <is>
          <t>A2-A3</t>
        </is>
      </c>
      <c r="C7" s="6" t="n">
        <v>10000000</v>
      </c>
      <c r="D7" s="5" t="inlineStr">
        <is>
          <t>Mirror säästud + ERMA kasum</t>
        </is>
      </c>
      <c r="E7" s="5" t="inlineStr">
        <is>
          <t>280 töökohta</t>
        </is>
      </c>
      <c r="F7" s="5" t="inlineStr">
        <is>
          <t>Keskmine</t>
        </is>
      </c>
      <c r="G7" s="5" t="inlineStr">
        <is>
          <t>Hemp Authority loomine</t>
        </is>
      </c>
    </row>
    <row r="8">
      <c r="A8" s="3" t="inlineStr">
        <is>
          <t>5</t>
        </is>
      </c>
      <c r="B8" s="3" t="inlineStr">
        <is>
          <t>A4-A5</t>
        </is>
      </c>
      <c r="C8" s="4" t="n">
        <v>0</v>
      </c>
      <c r="D8" s="3" t="inlineStr">
        <is>
          <t>Isetoetav</t>
        </is>
      </c>
      <c r="E8" s="3" t="inlineStr">
        <is>
          <t>650 tk, 84M fond</t>
        </is>
      </c>
      <c r="F8" s="3" t="inlineStr">
        <is>
          <t>Madal</t>
        </is>
      </c>
      <c r="G8" s="3" t="inlineStr">
        <is>
          <t>Reguleeritud turg, BI pilot</t>
        </is>
      </c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3" t="inlineStr">
        <is>
          <t>KOKKU käivituskapital</t>
        </is>
      </c>
      <c r="B10" s="3" t="inlineStr"/>
      <c r="C10" s="4" t="n">
        <v>3300000</v>
      </c>
      <c r="D10" s="3" t="inlineStr">
        <is>
          <t>Mitte ministeeriumi eelarvest!</t>
        </is>
      </c>
      <c r="E10" s="3" t="inlineStr"/>
      <c r="F10" s="3" t="inlineStr"/>
      <c r="G10" s="3" t="inlineStr">
        <is>
          <t>A1+A2 bootstrap</t>
        </is>
      </c>
    </row>
    <row r="11">
      <c r="A11" s="5" t="inlineStr">
        <is>
          <t>A5 isetoetav?</t>
        </is>
      </c>
      <c r="B11" s="5" t="inlineStr"/>
      <c r="C11" s="5" t="inlineStr">
        <is>
          <t>JAH</t>
        </is>
      </c>
      <c r="D11" s="5" t="inlineStr">
        <is>
          <t>53M sisse &gt; 27M välja</t>
        </is>
      </c>
      <c r="E11" s="5" t="inlineStr"/>
      <c r="F11" s="5" t="inlineStr"/>
      <c r="G11" s="5" t="inlineStr">
        <is>
          <t>18× admin kulu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 ht="32" customHeight="1">
      <c r="A1" s="1" t="inlineStr">
        <is>
          <t>OPERATION MIRROR — MIDA PEEGELDADA</t>
        </is>
      </c>
    </row>
    <row r="3">
      <c r="A3" s="11" t="inlineStr">
        <is>
          <t>Funktsioon</t>
        </is>
      </c>
      <c r="B3" s="11" t="inlineStr">
        <is>
          <t>Praegu</t>
        </is>
      </c>
      <c r="C3" s="11" t="inlineStr">
        <is>
          <t>Mirror tegevus</t>
        </is>
      </c>
      <c r="D3" s="11" t="inlineStr">
        <is>
          <t>Sääst/a</t>
        </is>
      </c>
      <c r="E3" s="11" t="inlineStr">
        <is>
          <t>Tulemus</t>
        </is>
      </c>
    </row>
    <row r="4">
      <c r="A4" s="3" t="inlineStr">
        <is>
          <t>Kliimapoliitika raportid</t>
        </is>
      </c>
      <c r="B4" s="3" t="inlineStr">
        <is>
          <t>35M programm</t>
        </is>
      </c>
      <c r="C4" s="3" t="inlineStr">
        <is>
          <t>Tulemuspõhine ainult</t>
        </is>
      </c>
      <c r="D4" s="4" t="n">
        <v>5000000</v>
      </c>
      <c r="E4" s="3" t="inlineStr">
        <is>
          <t>PDF → taimed</t>
        </is>
      </c>
    </row>
    <row r="5">
      <c r="A5" s="5" t="inlineStr">
        <is>
          <t>Agri + kliima kanep kattuvus</t>
        </is>
      </c>
      <c r="B5" s="5" t="inlineStr">
        <is>
          <t>2 ministeeriumi</t>
        </is>
      </c>
      <c r="C5" s="5" t="inlineStr">
        <is>
          <t>Üks Hemp Authority</t>
        </is>
      </c>
      <c r="D5" s="6" t="n">
        <v>3000000</v>
      </c>
      <c r="E5" s="5" t="inlineStr">
        <is>
          <t>Üks luba, üks lab</t>
        </is>
      </c>
    </row>
    <row r="6">
      <c r="A6" s="3" t="inlineStr">
        <is>
          <t>6 eraldi IT süsteemi</t>
        </is>
      </c>
      <c r="B6" s="3" t="inlineStr">
        <is>
          <t>16M IT kulud</t>
        </is>
      </c>
      <c r="C6" s="3" t="inlineStr">
        <is>
          <t>Üks platvorm</t>
        </is>
      </c>
      <c r="D6" s="4" t="n">
        <v>4000000</v>
      </c>
      <c r="E6" s="3" t="inlineStr">
        <is>
          <t>PRIA + ERMA integreeritud</t>
        </is>
      </c>
    </row>
    <row r="7">
      <c r="A7" s="5" t="inlineStr">
        <is>
          <t>Konsultandid + komisjonid</t>
        </is>
      </c>
      <c r="B7" s="5" t="inlineStr">
        <is>
          <t>~8M/a</t>
        </is>
      </c>
      <c r="C7" s="5" t="inlineStr">
        <is>
          <t>Farmerite kooperatiiv otsustab</t>
        </is>
      </c>
      <c r="D7" s="6" t="n">
        <v>5000000</v>
      </c>
      <c r="E7" s="5" t="inlineStr">
        <is>
          <t>Demokraatia maal</t>
        </is>
      </c>
    </row>
    <row r="8">
      <c r="A8" s="3" t="inlineStr">
        <is>
          <t>Välismaa CBD import</t>
        </is>
      </c>
      <c r="B8" s="3" t="inlineStr">
        <is>
          <t>15-30M välja</t>
        </is>
      </c>
      <c r="C8" s="3" t="inlineStr">
        <is>
          <t>ERMA asendab</t>
        </is>
      </c>
      <c r="D8" s="4" t="n">
        <v>15000000</v>
      </c>
      <c r="E8" s="3" t="inlineStr">
        <is>
          <t>Raha Eestis</t>
        </is>
      </c>
    </row>
    <row r="9">
      <c r="A9" s="5" t="inlineStr">
        <is>
          <t>Ministeeriumide arv 11→7</t>
        </is>
      </c>
      <c r="B9" s="5" t="inlineStr">
        <is>
          <t>~40M admin</t>
        </is>
      </c>
      <c r="C9" s="5" t="inlineStr">
        <is>
          <t>Streamline 4 ministeeriumi</t>
        </is>
      </c>
      <c r="D9" s="6" t="n">
        <v>8000000</v>
      </c>
      <c r="E9" s="5" t="inlineStr">
        <is>
          <t>Operation Mirror täis</t>
        </is>
      </c>
    </row>
    <row r="10">
      <c r="A10" s="3" t="inlineStr"/>
      <c r="B10" s="3" t="inlineStr"/>
      <c r="C10" s="3" t="inlineStr">
        <is>
          <t>KOKKU A5</t>
        </is>
      </c>
      <c r="D10" s="4" t="n">
        <v>35000000</v>
      </c>
      <c r="E10" s="3" t="inlineStr">
        <is>
          <t>Realistlik eesmärk</t>
        </is>
      </c>
    </row>
    <row r="11">
      <c r="A11" s="5" t="inlineStr"/>
      <c r="B11" s="5" t="inlineStr"/>
      <c r="C11" s="5" t="inlineStr">
        <is>
          <t>EI PUUTU</t>
        </is>
      </c>
      <c r="D11" s="5" t="n">
        <v>707858000</v>
      </c>
      <c r="E11" s="5" t="inlineStr">
        <is>
          <t>Teed, Rail Baltica, vesi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 ht="32" customHeight="1">
      <c r="A1" s="1" t="inlineStr">
        <is>
          <t>KUI VAJAD VÄHESELT RAHA — KOHE</t>
        </is>
      </c>
    </row>
    <row r="3">
      <c r="A3" s="12" t="inlineStr">
        <is>
          <t>Vajad</t>
        </is>
      </c>
      <c r="B3" s="12" t="inlineStr">
        <is>
          <t>Summa</t>
        </is>
      </c>
      <c r="C3" s="12" t="inlineStr">
        <is>
          <t>Allikas</t>
        </is>
      </c>
      <c r="D3" s="12" t="inlineStr">
        <is>
          <t>Aeg</t>
        </is>
      </c>
      <c r="E3" s="12" t="inlineStr">
        <is>
          <t>Kuidas taotleda</t>
        </is>
      </c>
    </row>
    <row r="4">
      <c r="A4" s="3" t="inlineStr">
        <is>
          <t>1 puukool</t>
        </is>
      </c>
      <c r="B4" s="4" t="n">
        <v>50000</v>
      </c>
      <c r="C4" s="3" t="inlineStr">
        <is>
          <t>LEADER</t>
        </is>
      </c>
      <c r="D4" s="3" t="inlineStr">
        <is>
          <t>3-6 kuud</t>
        </is>
      </c>
      <c r="E4" s="3" t="inlineStr">
        <is>
          <t>KOV kaudu, projektikiri</t>
        </is>
      </c>
    </row>
    <row r="5">
      <c r="A5" s="5" t="inlineStr">
        <is>
          <t>IT + bränd</t>
        </is>
      </c>
      <c r="B5" s="6" t="n">
        <v>200000</v>
      </c>
      <c r="C5" s="5" t="inlineStr">
        <is>
          <t>EAS arendusgrant</t>
        </is>
      </c>
      <c r="D5" s="5" t="inlineStr">
        <is>
          <t>4-8 kuud</t>
        </is>
      </c>
      <c r="E5" s="5" t="inlineStr">
        <is>
          <t>eas.ee, ettevõte vajalik</t>
        </is>
      </c>
    </row>
    <row r="6">
      <c r="A6" s="3" t="inlineStr">
        <is>
          <t>Seemikuprogramm</t>
        </is>
      </c>
      <c r="B6" s="4" t="n">
        <v>30000</v>
      </c>
      <c r="C6" s="3" t="inlineStr">
        <is>
          <t>CAP Pillar II</t>
        </is>
      </c>
      <c r="D6" s="3" t="inlineStr">
        <is>
          <t>6 kuud</t>
        </is>
      </c>
      <c r="E6" s="3" t="inlineStr">
        <is>
          <t>Põllumajandusministeerium</t>
        </is>
      </c>
    </row>
    <row r="7">
      <c r="A7" s="5" t="inlineStr">
        <is>
          <t>Labor seade</t>
        </is>
      </c>
      <c r="B7" s="6" t="n">
        <v>45000</v>
      </c>
      <c r="C7" s="5" t="inlineStr">
        <is>
          <t>KIK kliimafond</t>
        </is>
      </c>
      <c r="D7" s="5" t="inlineStr">
        <is>
          <t>6-12 kuud</t>
        </is>
      </c>
      <c r="E7" s="5" t="inlineStr">
        <is>
          <t>Kvaliteedikontroll</t>
        </is>
      </c>
    </row>
    <row r="8">
      <c r="A8" s="3" t="inlineStr">
        <is>
          <t>Päikesepaneelid tööstusele</t>
        </is>
      </c>
      <c r="B8" s="4" t="n">
        <v>80000</v>
      </c>
      <c r="C8" s="3" t="inlineStr">
        <is>
          <t>KIK</t>
        </is>
      </c>
      <c r="D8" s="3" t="inlineStr">
        <is>
          <t>6-12 kuud</t>
        </is>
      </c>
      <c r="E8" s="3" t="inlineStr">
        <is>
          <t>Odavam tootmine</t>
        </is>
      </c>
    </row>
    <row r="9">
      <c r="A9" s="5" t="inlineStr">
        <is>
          <t>Kutsekooli programm</t>
        </is>
      </c>
      <c r="B9" s="6" t="n">
        <v>0</v>
      </c>
      <c r="C9" s="5" t="inlineStr">
        <is>
          <t>Olemasolev eelarve</t>
        </is>
      </c>
      <c r="D9" s="5" t="inlineStr">
        <is>
          <t>12 kuud</t>
        </is>
      </c>
      <c r="E9" s="5" t="inlineStr">
        <is>
          <t>Uus eriala, ei vaja uut raha</t>
        </is>
      </c>
    </row>
    <row r="10">
      <c r="A10" s="3" t="inlineStr"/>
      <c r="B10" s="3" t="inlineStr"/>
      <c r="C10" s="3" t="inlineStr"/>
      <c r="D10" s="3" t="inlineStr"/>
      <c r="E10" s="3" t="inlineStr"/>
    </row>
    <row r="11">
      <c r="A11" s="5" t="inlineStr">
        <is>
          <t>KOKKU bootstrap</t>
        </is>
      </c>
      <c r="B11" s="6" t="n">
        <v>405000</v>
      </c>
      <c r="C11" s="5" t="inlineStr">
        <is>
          <t>Ilma ministeeriumita!</t>
        </is>
      </c>
      <c r="D11" s="5" t="inlineStr"/>
      <c r="E11" s="5" t="inlineStr"/>
    </row>
    <row r="12">
      <c r="A12" s="3" t="inlineStr">
        <is>
          <t>+ Nordic Hemp partner</t>
        </is>
      </c>
      <c r="B12" s="4" t="n">
        <v>150000</v>
      </c>
      <c r="C12" s="3" t="inlineStr">
        <is>
          <t>Ettevõte</t>
        </is>
      </c>
      <c r="D12" s="3" t="inlineStr">
        <is>
          <t>Kohe</t>
        </is>
      </c>
      <c r="E12" s="3" t="inlineStr">
        <is>
          <t>Kasvatajate võrgustik</t>
        </is>
      </c>
    </row>
    <row r="13">
      <c r="A13" s="5" t="inlineStr">
        <is>
          <t>KOKKU piloot</t>
        </is>
      </c>
      <c r="B13" s="5" t="n">
        <v>555000</v>
      </c>
      <c r="C13" s="5" t="inlineStr"/>
      <c r="D13" s="5" t="inlineStr">
        <is>
          <t>6 kuud</t>
        </is>
      </c>
      <c r="E13" s="5" t="inlineStr">
        <is>
          <t>ERMA käivitamiseks piisav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1" t="inlineStr">
        <is>
          <t>ERMA AS — 5-AASTA NUMBRID</t>
        </is>
      </c>
    </row>
    <row r="3">
      <c r="A3" s="2" t="inlineStr"/>
      <c r="B3" s="2" t="inlineStr">
        <is>
          <t>A1</t>
        </is>
      </c>
      <c r="C3" s="2" t="inlineStr">
        <is>
          <t>A2</t>
        </is>
      </c>
      <c r="D3" s="2" t="inlineStr">
        <is>
          <t>A3</t>
        </is>
      </c>
      <c r="E3" s="2" t="inlineStr">
        <is>
          <t>A4</t>
        </is>
      </c>
      <c r="F3" s="2" t="inlineStr">
        <is>
          <t>A5</t>
        </is>
      </c>
    </row>
    <row r="4">
      <c r="A4" s="3" t="inlineStr">
        <is>
          <t>Tulud</t>
        </is>
      </c>
      <c r="B4" s="4" t="n">
        <v>1200000</v>
      </c>
      <c r="C4" s="4" t="n">
        <v>4500000</v>
      </c>
      <c r="D4" s="4" t="n">
        <v>12000000</v>
      </c>
      <c r="E4" s="4" t="n">
        <v>22000000</v>
      </c>
      <c r="F4" s="4" t="n">
        <v>35000000</v>
      </c>
    </row>
    <row r="5">
      <c r="A5" s="5" t="inlineStr">
        <is>
          <t>Kulud</t>
        </is>
      </c>
      <c r="B5" s="6" t="n">
        <v>2800000</v>
      </c>
      <c r="C5" s="6" t="n">
        <v>3600000</v>
      </c>
      <c r="D5" s="6" t="n">
        <v>6500000</v>
      </c>
      <c r="E5" s="6" t="n">
        <v>9000000</v>
      </c>
      <c r="F5" s="6" t="n">
        <v>12000000</v>
      </c>
    </row>
    <row r="6">
      <c r="A6" s="3" t="inlineStr">
        <is>
          <t>Netokasum</t>
        </is>
      </c>
      <c r="B6" s="4">
        <f>B3-B4</f>
        <v/>
      </c>
      <c r="C6" s="4">
        <f>C3-C4</f>
        <v/>
      </c>
      <c r="D6" s="4">
        <f>D3-D4</f>
        <v/>
      </c>
      <c r="E6" s="4">
        <f>E3-E4</f>
        <v/>
      </c>
      <c r="F6" s="4">
        <f>F3-F4</f>
        <v/>
      </c>
    </row>
    <row r="7">
      <c r="A7" s="5" t="inlineStr">
        <is>
          <t>Riigikassasse</t>
        </is>
      </c>
      <c r="B7" s="6" t="n">
        <v>0</v>
      </c>
      <c r="C7" s="6" t="n">
        <v>350000</v>
      </c>
      <c r="D7" s="6" t="n">
        <v>1800000</v>
      </c>
      <c r="E7" s="6" t="n">
        <v>4200000</v>
      </c>
      <c r="F7" s="6" t="n">
        <v>7500000</v>
      </c>
    </row>
    <row r="8">
      <c r="A8" s="3" t="inlineStr">
        <is>
          <t>Töökohad</t>
        </is>
      </c>
      <c r="B8" s="3" t="n">
        <v>45</v>
      </c>
      <c r="C8" s="3" t="n">
        <v>120</v>
      </c>
      <c r="D8" s="3" t="n">
        <v>280</v>
      </c>
      <c r="E8" s="3" t="n">
        <v>450</v>
      </c>
      <c r="F8" s="3" t="n">
        <v>650</v>
      </c>
    </row>
    <row r="9">
      <c r="A9" s="5" t="inlineStr">
        <is>
          <t>Liisingumasinad</t>
        </is>
      </c>
      <c r="B9" s="5" t="n">
        <v>4</v>
      </c>
      <c r="C9" s="5" t="n">
        <v>12</v>
      </c>
      <c r="D9" s="5" t="n">
        <v>28</v>
      </c>
      <c r="E9" s="5" t="n">
        <v>45</v>
      </c>
      <c r="F9" s="5" t="n">
        <v>60</v>
      </c>
    </row>
    <row r="10">
      <c r="A10" s="3" t="inlineStr">
        <is>
          <t>Puukoolid</t>
        </is>
      </c>
      <c r="B10" s="3" t="n">
        <v>3</v>
      </c>
      <c r="C10" s="3" t="n">
        <v>8</v>
      </c>
      <c r="D10" s="3" t="n">
        <v>15</v>
      </c>
      <c r="E10" s="3" t="n">
        <v>22</v>
      </c>
      <c r="F10" s="3" t="n">
        <v>30</v>
      </c>
    </row>
    <row r="11">
      <c r="A11" s="5" t="inlineStr">
        <is>
          <t>Vaba kassa masinad</t>
        </is>
      </c>
      <c r="B11" s="5" t="n">
        <v>0</v>
      </c>
      <c r="C11" s="5" t="n">
        <v>2</v>
      </c>
      <c r="D11" s="5" t="n">
        <v>8</v>
      </c>
      <c r="E11" s="5" t="n">
        <v>20</v>
      </c>
      <c r="F11" s="5" t="n">
        <v>45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32" customHeight="1">
      <c r="A1" s="1" t="inlineStr">
        <is>
          <t>MUST TURG vs REGULEERITUD — SINU HINNAGA</t>
        </is>
      </c>
    </row>
    <row r="3">
      <c r="A3" s="2" t="inlineStr">
        <is>
          <t>Stsenaarium</t>
        </is>
      </c>
      <c r="B3" s="2" t="inlineStr">
        <is>
          <t>Turu maht</t>
        </is>
      </c>
      <c r="C3" s="2" t="inlineStr">
        <is>
          <t>Riigile</t>
        </is>
      </c>
      <c r="D3" s="2" t="inlineStr">
        <is>
          <t>Töökohti</t>
        </is>
      </c>
      <c r="E3" s="2" t="inlineStr">
        <is>
          <t>Must %</t>
        </is>
      </c>
      <c r="F3" s="2" t="inlineStr">
        <is>
          <t>Allikas</t>
        </is>
      </c>
    </row>
    <row r="4">
      <c r="A4" s="3" t="inlineStr">
        <is>
          <t>Praegu (must turg)</t>
        </is>
      </c>
      <c r="B4" s="4" t="n">
        <v>56000000</v>
      </c>
      <c r="C4" s="4" t="n">
        <v>0</v>
      </c>
      <c r="D4" s="4" t="n">
        <v>0</v>
      </c>
      <c r="E4" s="3" t="n">
        <v>1</v>
      </c>
      <c r="F4" s="3" t="inlineStr">
        <is>
          <t>Julgeolekuteaduste uuring</t>
        </is>
      </c>
    </row>
    <row r="5">
      <c r="A5" s="5" t="inlineStr">
        <is>
          <t>Petitsioon hinnang</t>
        </is>
      </c>
      <c r="B5" s="6" t="n">
        <v>171500000</v>
      </c>
      <c r="C5" s="6" t="n">
        <v>0</v>
      </c>
      <c r="D5" s="6" t="n">
        <v>0</v>
      </c>
      <c r="E5" s="5" t="n">
        <v>1</v>
      </c>
      <c r="F5" s="5" t="inlineStr">
        <is>
          <t>O. Lesment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5" t="inlineStr">
        <is>
          <t>A3 piloot (30% legal)</t>
        </is>
      </c>
      <c r="B7" s="5" t="n">
        <v>56000000</v>
      </c>
      <c r="C7" s="5" t="n">
        <v>18000000</v>
      </c>
      <c r="D7" s="5" t="n">
        <v>280</v>
      </c>
      <c r="E7" s="5" t="n">
        <v>0.7</v>
      </c>
      <c r="F7" s="5" t="inlineStr">
        <is>
          <t>Meie mudel</t>
        </is>
      </c>
    </row>
    <row r="8">
      <c r="A8" s="3" t="inlineStr">
        <is>
          <t>A5 täismahus</t>
        </is>
      </c>
      <c r="B8" s="4" t="n">
        <v>80000000</v>
      </c>
      <c r="C8" s="4" t="n">
        <v>46000000</v>
      </c>
      <c r="D8" s="4" t="n">
        <v>650</v>
      </c>
      <c r="E8" s="3" t="n">
        <v>0.3</v>
      </c>
      <c r="F8" s="3" t="inlineStr">
        <is>
          <t>Meie mudel</t>
        </is>
      </c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3" t="inlineStr">
        <is>
          <t>Sinu hind</t>
        </is>
      </c>
      <c r="B10" s="3" t="inlineStr">
        <is>
          <t>15€/1.33g</t>
        </is>
      </c>
      <c r="C10" s="3">
        <f>15/1.33</f>
        <v/>
      </c>
      <c r="D10" s="3" t="inlineStr">
        <is>
          <t>€/g</t>
        </is>
      </c>
      <c r="E10" s="3" t="n">
        <v>11.28</v>
      </c>
      <c r="F10" s="3" t="inlineStr"/>
    </row>
    <row r="11">
      <c r="A11" s="5" t="inlineStr">
        <is>
          <t>25k ostja × 2g/kuu</t>
        </is>
      </c>
      <c r="B11" s="6" t="n">
        <v>6770000</v>
      </c>
      <c r="C11" s="6" t="n">
        <v>1354000</v>
      </c>
      <c r="D11" s="5" t="inlineStr"/>
      <c r="E11" s="5" t="inlineStr"/>
      <c r="F11" s="5" t="inlineStr">
        <is>
          <t>Ainult see grupp</t>
        </is>
      </c>
    </row>
    <row r="12">
      <c r="A12" t="inlineStr">
        <is>
          <t>Kogu Eesti (A5)</t>
        </is>
      </c>
      <c r="B12" t="n">
        <v>80000000</v>
      </c>
      <c r="C12" t="n">
        <v>46000000</v>
      </c>
      <c r="D12" t="inlineStr"/>
      <c r="E12" t="inlineStr"/>
      <c r="F12" t="inlineStr">
        <is>
          <t>Täismahus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2" customWidth="1" min="5" max="5"/>
    <col width="30" customWidth="1" min="6" max="6"/>
  </cols>
  <sheetData>
    <row r="1" ht="32" customHeight="1">
      <c r="A1" s="1" t="inlineStr">
        <is>
          <t>ÕLESSANDED ALLÜKSUSTELE — MALEVAPEALIKUD MAASTIKUL</t>
        </is>
      </c>
    </row>
    <row r="3">
      <c r="A3" s="13" t="inlineStr">
        <is>
          <t>Kiht</t>
        </is>
      </c>
      <c r="B3" s="13" t="inlineStr">
        <is>
          <t>Kes</t>
        </is>
      </c>
      <c r="C3" s="13" t="inlineStr">
        <is>
          <t>Mida teeb maastikul</t>
        </is>
      </c>
      <c r="D3" s="13" t="inlineStr">
        <is>
          <t>Mõju elanikele</t>
        </is>
      </c>
      <c r="E3" s="13" t="inlineStr">
        <is>
          <t>A5 eesmärk</t>
        </is>
      </c>
      <c r="F3" s="13" t="inlineStr">
        <is>
          <t>Seos teiste kihtidega</t>
        </is>
      </c>
    </row>
    <row r="4">
      <c r="A4" s="3" t="inlineStr">
        <is>
          <t>7. OLESSANDED</t>
        </is>
      </c>
      <c r="B4" s="3" t="inlineStr">
        <is>
          <t>Malevapealik</t>
        </is>
      </c>
      <c r="C4" s="3" t="inlineStr">
        <is>
          <t>Koordineerib tsiviiltegevust</t>
        </is>
      </c>
      <c r="D4" s="3" t="inlineStr">
        <is>
          <t>Töökohad, turvalisus</t>
        </is>
      </c>
      <c r="E4" s="3" t="inlineStr">
        <is>
          <t>15 maleva aktiivne</t>
        </is>
      </c>
      <c r="F4" s="3" t="inlineStr">
        <is>
          <t>Operation Mirror elluviija</t>
        </is>
      </c>
    </row>
    <row r="5">
      <c r="A5" s="5" t="inlineStr">
        <is>
          <t>Õlg</t>
        </is>
      </c>
      <c r="B5" s="5" t="inlineStr">
        <is>
          <t>Malevkonna pealik</t>
        </is>
      </c>
      <c r="C5" s="5" t="inlineStr">
        <is>
          <t>Kuulab vallas/linnas</t>
        </is>
      </c>
      <c r="D5" s="5" t="inlineStr">
        <is>
          <t>Farmer↔KOV↔tarbija</t>
        </is>
      </c>
      <c r="E5" s="5" t="inlineStr">
        <is>
          <t>150+ kuulamispunkti</t>
        </is>
      </c>
      <c r="F5" s="5" t="inlineStr">
        <is>
          <t>ERMA nõudlus</t>
        </is>
      </c>
    </row>
    <row r="6">
      <c r="A6" s="3" t="inlineStr">
        <is>
          <t>Õlg</t>
        </is>
      </c>
      <c r="B6" s="3" t="inlineStr">
        <is>
          <t>JUP 2 lõpetaja</t>
        </is>
      </c>
      <c r="C6" s="3" t="inlineStr">
        <is>
          <t>Probleemide lahendaja</t>
        </is>
      </c>
      <c r="D6" s="3" t="inlineStr">
        <is>
          <t>Kriisikomisjonid</t>
        </is>
      </c>
      <c r="E6" s="3" t="inlineStr">
        <is>
          <t>500+ juhti ühiskonnas</t>
        </is>
      </c>
      <c r="F6" s="3" t="inlineStr">
        <is>
          <t>KOV Šveitsi mudel</t>
        </is>
      </c>
    </row>
    <row r="7">
      <c r="A7" s="5" t="inlineStr">
        <is>
          <t>Õlg</t>
        </is>
      </c>
      <c r="B7" s="5" t="inlineStr">
        <is>
          <t>Sõdurioskuste kursus</t>
        </is>
      </c>
      <c r="C7" s="5" t="inlineStr">
        <is>
          <t>Juhtimisoskused koju</t>
        </is>
      </c>
      <c r="D7" s="5" t="inlineStr">
        <is>
          <t>Iga KL liige = juht</t>
        </is>
      </c>
      <c r="E7" s="5" t="inlineStr">
        <is>
          <t>10 000+ juhti</t>
        </is>
      </c>
      <c r="F7" s="5" t="inlineStr">
        <is>
          <t>Tasuta koolitus</t>
        </is>
      </c>
    </row>
    <row r="8">
      <c r="A8" s="3" t="inlineStr">
        <is>
          <t>Partner</t>
        </is>
      </c>
      <c r="B8" s="3" t="inlineStr">
        <is>
          <t>KOV</t>
        </is>
      </c>
      <c r="C8" s="3" t="inlineStr">
        <is>
          <t>Otsused lähedal</t>
        </is>
      </c>
      <c r="D8" s="3" t="inlineStr">
        <is>
          <t>Kooli aiad, LEADER</t>
        </is>
      </c>
      <c r="E8" s="3" t="inlineStr">
        <is>
          <t>Kõik KOV kaasatud</t>
        </is>
      </c>
      <c r="F8" s="3" t="inlineStr">
        <is>
          <t>Puukoolid</t>
        </is>
      </c>
    </row>
    <row r="9">
      <c r="A9" s="5" t="inlineStr">
        <is>
          <t>Partner</t>
        </is>
      </c>
      <c r="B9" s="5" t="inlineStr">
        <is>
          <t>ERMA / farmer</t>
        </is>
      </c>
      <c r="C9" s="5" t="inlineStr">
        <is>
          <t>Pakkumine</t>
        </is>
      </c>
      <c r="D9" s="5" t="inlineStr">
        <is>
          <t>Kohalik toode</t>
        </is>
      </c>
      <c r="E9" s="5" t="inlineStr">
        <is>
          <t>30 puukooli</t>
        </is>
      </c>
      <c r="F9" s="5" t="inlineStr">
        <is>
          <t>Hemp Authority</t>
        </is>
      </c>
    </row>
    <row r="10">
      <c r="A10" s="3" t="inlineStr">
        <is>
          <t>Partner</t>
        </is>
      </c>
      <c r="B10" s="3" t="inlineStr">
        <is>
          <t>Tarbija</t>
        </is>
      </c>
      <c r="C10" s="3" t="inlineStr">
        <is>
          <t>Nõudlus</t>
        </is>
      </c>
      <c r="D10" s="3" t="inlineStr">
        <is>
          <t>Osta Eesti</t>
        </is>
      </c>
      <c r="E10" s="3" t="inlineStr">
        <is>
          <t>Reguleeritud turg</t>
        </is>
      </c>
      <c r="F10" s="3" t="inlineStr">
        <is>
          <t>Inimeste Fond</t>
        </is>
      </c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3" t="inlineStr">
        <is>
          <t>PILOOT 2026</t>
        </is>
      </c>
      <c r="B12" s="3" t="inlineStr">
        <is>
          <t>Sakala malev</t>
        </is>
      </c>
      <c r="C12" s="3" t="inlineStr">
        <is>
          <t>Viljandi, Tactical Foodpack</t>
        </is>
      </c>
      <c r="D12" s="3" t="inlineStr">
        <is>
          <t>Puukoolid</t>
        </is>
      </c>
      <c r="E12" s="3" t="inlineStr">
        <is>
          <t>3 maleva</t>
        </is>
      </c>
      <c r="F12" s="3" t="inlineStr">
        <is>
          <t>Sverre võrgustik</t>
        </is>
      </c>
    </row>
    <row r="13">
      <c r="A13" s="5" t="inlineStr"/>
      <c r="B13" s="5" t="inlineStr">
        <is>
          <t>Jõgeva malev</t>
        </is>
      </c>
      <c r="C13" s="5" t="inlineStr">
        <is>
          <t>Sadala Agro, kanep</t>
        </is>
      </c>
      <c r="D13" s="5" t="inlineStr">
        <is>
          <t>Farmerid</t>
        </is>
      </c>
      <c r="E13" s="5" t="inlineStr"/>
      <c r="F13" s="5" t="inlineStr">
        <is>
          <t>Nordic Hemp</t>
        </is>
      </c>
    </row>
    <row r="14">
      <c r="A14" s="3" t="inlineStr"/>
      <c r="B14" s="3" t="inlineStr">
        <is>
          <t>Tartu malev</t>
        </is>
      </c>
      <c r="C14" s="3" t="inlineStr">
        <is>
          <t>EPM, teadus</t>
        </is>
      </c>
      <c r="D14" s="3" t="inlineStr">
        <is>
          <t>Koolitus</t>
        </is>
      </c>
      <c r="E14" s="3" t="inlineStr"/>
      <c r="F14" s="3" t="inlineStr">
        <is>
          <t>ERMA klaster</t>
        </is>
      </c>
    </row>
    <row r="16">
      <c r="A16" s="14" t="inlineStr">
        <is>
          <t>MALEVAPEALIKU ÜLEANDED</t>
        </is>
      </c>
    </row>
    <row r="17">
      <c r="A17" s="2" t="inlineStr">
        <is>
          <t>#</t>
        </is>
      </c>
      <c r="B17" s="2" t="inlineStr">
        <is>
          <t>Ülesanne</t>
        </is>
      </c>
      <c r="C17" s="2" t="inlineStr">
        <is>
          <t>Sagedus</t>
        </is>
      </c>
      <c r="D17" s="2" t="inlineStr">
        <is>
          <t>Mõõdik</t>
        </is>
      </c>
      <c r="E17" s="2" t="inlineStr">
        <is>
          <t>Kulu</t>
        </is>
      </c>
      <c r="F17" s="2" t="inlineStr">
        <is>
          <t>Märkus</t>
        </is>
      </c>
    </row>
    <row r="18">
      <c r="A18" s="3" t="inlineStr">
        <is>
          <t>1</t>
        </is>
      </c>
      <c r="B18" s="3" t="inlineStr">
        <is>
          <t>Kohtumine KOV juhtidega</t>
        </is>
      </c>
      <c r="C18" s="3" t="inlineStr">
        <is>
          <t>Kvartaalselt</t>
        </is>
      </c>
      <c r="D18" s="3" t="inlineStr">
        <is>
          <t>Protokoll</t>
        </is>
      </c>
      <c r="E18" s="3" t="n">
        <v>0</v>
      </c>
      <c r="F18" s="3" t="inlineStr">
        <is>
          <t>Järvamaa mudel</t>
        </is>
      </c>
    </row>
    <row r="19">
      <c r="A19" s="5" t="inlineStr">
        <is>
          <t>2</t>
        </is>
      </c>
      <c r="B19" s="5" t="inlineStr">
        <is>
          <t>Tsiviil-maastiku kaart</t>
        </is>
      </c>
      <c r="C19" s="5" t="inlineStr">
        <is>
          <t>1×/a</t>
        </is>
      </c>
      <c r="D19" s="5" t="inlineStr">
        <is>
          <t>Farmerid, poed, koolid</t>
        </is>
      </c>
      <c r="E19" s="5" t="n">
        <v>0</v>
      </c>
      <c r="F19" s="5" t="inlineStr">
        <is>
          <t>Anonüümne</t>
        </is>
      </c>
    </row>
    <row r="20">
      <c r="A20" s="3" t="inlineStr">
        <is>
          <t>3</t>
        </is>
      </c>
      <c r="B20" s="3" t="inlineStr">
        <is>
          <t>Nõudluse raport ERMA-le</t>
        </is>
      </c>
      <c r="C20" s="3" t="inlineStr">
        <is>
          <t>Kvartaalselt</t>
        </is>
      </c>
      <c r="D20" s="3" t="inlineStr">
        <is>
          <t>Osta Eesti statistika</t>
        </is>
      </c>
      <c r="E20" s="3" t="n">
        <v>0</v>
      </c>
      <c r="F20" s="3" t="inlineStr">
        <is>
          <t>Maleva piirkond</t>
        </is>
      </c>
    </row>
    <row r="21">
      <c r="A21" s="5" t="inlineStr">
        <is>
          <t>4</t>
        </is>
      </c>
      <c r="B21" s="5" t="inlineStr">
        <is>
          <t>Kriisikoolitus (CIMIC)</t>
        </is>
      </c>
      <c r="C21" s="5" t="inlineStr">
        <is>
          <t>1×/a</t>
        </is>
      </c>
      <c r="D21" s="5" t="inlineStr">
        <is>
          <t>Osalejad</t>
        </is>
      </c>
      <c r="E21" s="5" t="inlineStr">
        <is>
          <t>LEADER/KL</t>
        </is>
      </c>
      <c r="F21" s="5" t="inlineStr">
        <is>
          <t>Partnerid kaasatud</t>
        </is>
      </c>
    </row>
    <row r="22">
      <c r="A22" s="3" t="inlineStr">
        <is>
          <t>5</t>
        </is>
      </c>
      <c r="B22" s="3" t="inlineStr">
        <is>
          <t>Noorte aiaprogramm</t>
        </is>
      </c>
      <c r="C22" s="3" t="inlineStr">
        <is>
          <t>Pidev</t>
        </is>
      </c>
      <c r="D22" s="3" t="inlineStr">
        <is>
          <t>Kotkad/Kodutütarde</t>
        </is>
      </c>
      <c r="E22" s="3" t="inlineStr">
        <is>
          <t>KOV</t>
        </is>
      </c>
      <c r="F22" s="3" t="inlineStr">
        <is>
          <t>Loodus kooli</t>
        </is>
      </c>
    </row>
    <row r="23">
      <c r="A23" s="5" t="inlineStr">
        <is>
          <t>6</t>
        </is>
      </c>
      <c r="B23" s="5" t="inlineStr">
        <is>
          <t>JUP suunamine tsiviilile</t>
        </is>
      </c>
      <c r="C23" s="5" t="inlineStr">
        <is>
          <t>Pidev</t>
        </is>
      </c>
      <c r="D23" s="5" t="inlineStr">
        <is>
          <t>Juhtide arv</t>
        </is>
      </c>
      <c r="E23" s="5" t="n">
        <v>0</v>
      </c>
      <c r="F23" s="5" t="inlineStr">
        <is>
          <t>Sõdurioskuste export</t>
        </is>
      </c>
    </row>
    <row r="24">
      <c r="A24" s="3" t="n"/>
      <c r="B24" s="3" t="n"/>
      <c r="C24" s="3" t="n"/>
      <c r="D24" s="3" t="n"/>
      <c r="E24" s="3" t="n"/>
      <c r="F24" s="3" t="n"/>
    </row>
    <row r="26">
      <c r="A26" s="14" t="inlineStr">
        <is>
          <t>JUP → TSIVIIL PIPELINE</t>
        </is>
      </c>
    </row>
    <row r="27">
      <c r="A27" s="2" t="inlineStr">
        <is>
          <t>Kursus</t>
        </is>
      </c>
      <c r="B27" s="2" t="inlineStr">
        <is>
          <t>Mida annab</t>
        </is>
      </c>
      <c r="C27" s="2" t="inlineStr">
        <is>
          <t>Kuhu liigub</t>
        </is>
      </c>
      <c r="D27" s="2" t="inlineStr">
        <is>
          <t>Näide</t>
        </is>
      </c>
      <c r="E27" s="2" t="inlineStr">
        <is>
          <t>Kool</t>
        </is>
      </c>
      <c r="F27" s="2" t="inlineStr">
        <is>
          <t>A5 maht</t>
        </is>
      </c>
    </row>
    <row r="28">
      <c r="A28" s="3" t="inlineStr">
        <is>
          <t>Sõdurioskused / alus</t>
        </is>
      </c>
      <c r="B28" s="3" t="inlineStr">
        <is>
          <t>Meeskond, distsipliin</t>
        </is>
      </c>
      <c r="C28" s="3" t="inlineStr">
        <is>
          <t>Iga kodukohas</t>
        </is>
      </c>
      <c r="D28" s="3" t="inlineStr">
        <is>
          <t>KL liige</t>
        </is>
      </c>
      <c r="E28" s="3" t="inlineStr">
        <is>
          <t>KL kool</t>
        </is>
      </c>
      <c r="F28" s="3" t="inlineStr">
        <is>
          <t>10 000+</t>
        </is>
      </c>
    </row>
    <row r="29">
      <c r="A29" s="5" t="inlineStr">
        <is>
          <t>JUP 1</t>
        </is>
      </c>
      <c r="B29" s="5" t="inlineStr">
        <is>
          <t>Juhtimise baas</t>
        </is>
      </c>
      <c r="C29" s="5" t="inlineStr">
        <is>
          <t>Meeskonnajuht</t>
        </is>
      </c>
      <c r="D29" s="5" t="inlineStr">
        <is>
          <t>Malevkond</t>
        </is>
      </c>
      <c r="E29" s="5" t="inlineStr">
        <is>
          <t>Alu mõis</t>
        </is>
      </c>
      <c r="F29" s="5" t="inlineStr">
        <is>
          <t>2 000+</t>
        </is>
      </c>
    </row>
    <row r="30">
      <c r="A30" s="3" t="inlineStr">
        <is>
          <t>JUP 2</t>
        </is>
      </c>
      <c r="B30" s="3" t="inlineStr">
        <is>
          <t>Probleemi lahendus</t>
        </is>
      </c>
      <c r="C30" s="3" t="inlineStr">
        <is>
          <t>KOV kriisikomisjon</t>
        </is>
      </c>
      <c r="D30" s="3" t="inlineStr">
        <is>
          <t>Järvamaa</t>
        </is>
      </c>
      <c r="E30" s="3" t="inlineStr">
        <is>
          <t>Alu mõis</t>
        </is>
      </c>
      <c r="F30" s="3" t="inlineStr">
        <is>
          <t>500+</t>
        </is>
      </c>
    </row>
    <row r="31">
      <c r="A31" s="5" t="inlineStr">
        <is>
          <t>JUP 3</t>
        </is>
      </c>
      <c r="B31" s="5" t="inlineStr">
        <is>
          <t>Ülesandekeskne juht</t>
        </is>
      </c>
      <c r="C31" s="5" t="inlineStr">
        <is>
          <t>Malevapealik</t>
        </is>
      </c>
      <c r="D31" s="5" t="inlineStr">
        <is>
          <t>15 maleva</t>
        </is>
      </c>
      <c r="E31" s="5" t="inlineStr">
        <is>
          <t>Alu mõis</t>
        </is>
      </c>
      <c r="F31" s="5" t="inlineStr">
        <is>
          <t>50+</t>
        </is>
      </c>
    </row>
    <row r="32">
      <c r="A32" s="3" t="inlineStr">
        <is>
          <t>CIMIC koolitus</t>
        </is>
      </c>
      <c r="B32" s="3" t="inlineStr">
        <is>
          <t>Tsiviil-sõjaline</t>
        </is>
      </c>
      <c r="C32" s="3" t="inlineStr">
        <is>
          <t>Omavalitsus + partner</t>
        </is>
      </c>
      <c r="D32" s="3" t="inlineStr">
        <is>
          <t>Kriis</t>
        </is>
      </c>
      <c r="E32" s="3" t="inlineStr">
        <is>
          <t>Õõlg</t>
        </is>
      </c>
      <c r="F32" s="3" t="inlineStr">
        <is>
          <t>15 KOV/a</t>
        </is>
      </c>
    </row>
    <row r="33">
      <c r="A33" s="5" t="n"/>
      <c r="B33" s="5" t="n"/>
      <c r="C33" s="5" t="n"/>
      <c r="D33" s="5" t="n"/>
      <c r="E33" s="5" t="n"/>
      <c r="F33" s="5" t="n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2" customWidth="1" min="4" max="4"/>
    <col width="14" customWidth="1" min="5" max="5"/>
    <col width="38" customWidth="1" min="6" max="6"/>
  </cols>
  <sheetData>
    <row r="1" ht="32" customHeight="1">
      <c r="A1" s="1" t="inlineStr">
        <is>
          <t>EESTI FINANTSSTRATEEGIA — 15–20 MITTE-KORRELATSIOONSET VOOGU (RAY DALIO / TONY ROBBINS)</t>
        </is>
      </c>
    </row>
    <row r="2">
      <c r="A2" s="15" t="inlineStr">
        <is>
          <t>Põhimõte — Ray Dalio (Bridgewater): leia 15–20 mitte-korrelatsioonset tuluvoogu ja investeeri neisse. Tony Robbins populariseeris (*Money: Master the Game*, All Seasons portfell). Üks sektori krahh ei viib kogu portfelli alla.</t>
        </is>
      </c>
    </row>
    <row r="4">
      <c r="A4" s="16" t="inlineStr">
        <is>
          <t>#</t>
        </is>
      </c>
      <c r="B4" s="16" t="inlineStr">
        <is>
          <t>Tuluvoog / varaklass</t>
        </is>
      </c>
      <c r="C4" s="16" t="inlineStr">
        <is>
          <t>Korrelatsioon</t>
        </is>
      </c>
      <c r="D4" s="16" t="inlineStr">
        <is>
          <t>Siht %</t>
        </is>
      </c>
      <c r="E4" s="16" t="inlineStr">
        <is>
          <t>A5 € (84M)</t>
        </is>
      </c>
      <c r="F4" s="16" t="inlineStr">
        <is>
          <t>Märkus</t>
        </is>
      </c>
    </row>
    <row r="5">
      <c r="A5" s="5" t="inlineStr">
        <is>
          <t>1</t>
        </is>
      </c>
      <c r="B5" s="5" t="inlineStr">
        <is>
          <t>Päikesepargid + salvestus</t>
        </is>
      </c>
      <c r="C5" s="5" t="inlineStr">
        <is>
          <t>Energia ≠ tarbimine</t>
        </is>
      </c>
      <c r="D5" s="8" t="n">
        <v>0.12</v>
      </c>
      <c r="E5" s="6">
        <f>D4*84000000</f>
        <v/>
      </c>
      <c r="F5" s="5" t="inlineStr">
        <is>
          <t>8× 5MW parki</t>
        </is>
      </c>
    </row>
    <row r="6">
      <c r="A6" s="3" t="inlineStr">
        <is>
          <t>2</t>
        </is>
      </c>
      <c r="B6" s="3" t="inlineStr">
        <is>
          <t>Liisingumasinad (tootlik vara)</t>
        </is>
      </c>
      <c r="C6" s="3" t="inlineStr">
        <is>
          <t>≠ börs</t>
        </is>
      </c>
      <c r="D6" s="9" t="n">
        <v>0.08</v>
      </c>
      <c r="E6" s="4">
        <f>D5*84000000</f>
        <v/>
      </c>
      <c r="F6" s="3" t="inlineStr">
        <is>
          <t>Paid off → vaba kassa</t>
        </is>
      </c>
    </row>
    <row r="7">
      <c r="A7" s="5" t="inlineStr">
        <is>
          <t>3</t>
        </is>
      </c>
      <c r="B7" s="5" t="inlineStr">
        <is>
          <t>Tööstuskanep — kiud, eksport</t>
        </is>
      </c>
      <c r="C7" s="5" t="inlineStr">
        <is>
          <t>Ekspordi tsükkel</t>
        </is>
      </c>
      <c r="D7" s="8" t="n">
        <v>0.07000000000000001</v>
      </c>
      <c r="E7" s="6">
        <f>D6*84000000</f>
        <v/>
      </c>
      <c r="F7" s="5" t="inlineStr">
        <is>
          <t>Nordic Hemp</t>
        </is>
      </c>
    </row>
    <row r="8">
      <c r="A8" s="3" t="inlineStr">
        <is>
          <t>4</t>
        </is>
      </c>
      <c r="B8" s="3" t="inlineStr">
        <is>
          <t>CBD kosmeetika</t>
        </is>
      </c>
      <c r="C8" s="3" t="inlineStr">
        <is>
          <t>Tarbimine</t>
        </is>
      </c>
      <c r="D8" s="9" t="n">
        <v>0.05</v>
      </c>
      <c r="E8" s="4">
        <f>D7*84000000</f>
        <v/>
      </c>
      <c r="F8" s="3" t="inlineStr">
        <is>
          <t>Kreemid, õlid</t>
        </is>
      </c>
    </row>
    <row r="9">
      <c r="A9" s="5" t="inlineStr">
        <is>
          <t>5</t>
        </is>
      </c>
      <c r="B9" s="5" t="inlineStr">
        <is>
          <t>Growshop võrgustik</t>
        </is>
      </c>
      <c r="C9" s="5" t="inlineStr">
        <is>
          <t>Kohalik müük</t>
        </is>
      </c>
      <c r="D9" s="8" t="n">
        <v>0.06</v>
      </c>
      <c r="E9" s="6">
        <f>D8*84000000</f>
        <v/>
      </c>
      <c r="F9" s="5" t="inlineStr">
        <is>
          <t>Asendab importi</t>
        </is>
      </c>
    </row>
    <row r="10">
      <c r="A10" s="3" t="inlineStr">
        <is>
          <t>6</t>
        </is>
      </c>
      <c r="B10" s="3" t="inlineStr">
        <is>
          <t>Reguleeritud täiskasvanute turg</t>
        </is>
      </c>
      <c r="C10" s="3" t="inlineStr">
        <is>
          <t>Siseriiklik</t>
        </is>
      </c>
      <c r="D10" s="9" t="n">
        <v>0.05</v>
      </c>
      <c r="E10" s="4">
        <f>D9*84000000</f>
        <v/>
      </c>
      <c r="F10" s="3" t="inlineStr">
        <is>
          <t>Maksud + ohutus</t>
        </is>
      </c>
    </row>
    <row r="11">
      <c r="A11" s="5" t="inlineStr">
        <is>
          <t>7</t>
        </is>
      </c>
      <c r="B11" s="5" t="inlineStr">
        <is>
          <t>Meditsiiniline kanep</t>
        </is>
      </c>
      <c r="C11" s="5" t="inlineStr">
        <is>
          <t>Haigekassa</t>
        </is>
      </c>
      <c r="D11" s="8" t="n">
        <v>0.04</v>
      </c>
      <c r="E11" s="6">
        <f>D10*84000000</f>
        <v/>
      </c>
      <c r="F11" s="5" t="inlineStr">
        <is>
          <t>Stabiilne ostja</t>
        </is>
      </c>
    </row>
    <row r="12">
      <c r="A12" s="3" t="inlineStr">
        <is>
          <t>8</t>
        </is>
      </c>
      <c r="B12" s="3" t="inlineStr">
        <is>
          <t>Puukoolid + seemikumüük</t>
        </is>
      </c>
      <c r="C12" s="3" t="inlineStr">
        <is>
          <t>Maaelu, ≠ börs</t>
        </is>
      </c>
      <c r="D12" s="9" t="n">
        <v>0.06</v>
      </c>
      <c r="E12" s="4">
        <f>D11*84000000</f>
        <v/>
      </c>
      <c r="F12" s="3" t="inlineStr">
        <is>
          <t>30 puukooli</t>
        </is>
      </c>
    </row>
    <row r="13">
      <c r="A13" s="5" t="inlineStr">
        <is>
          <t>9</t>
        </is>
      </c>
      <c r="B13" s="5" t="inlineStr">
        <is>
          <t>Kutsekool + koolitus</t>
        </is>
      </c>
      <c r="C13" s="5" t="inlineStr">
        <is>
          <t>Inimkapital</t>
        </is>
      </c>
      <c r="D13" s="8" t="n">
        <v>0.05</v>
      </c>
      <c r="E13" s="6">
        <f>D12*84000000</f>
        <v/>
      </c>
      <c r="F13" s="5" t="inlineStr">
        <is>
          <t>Pipeline töökohtadele</t>
        </is>
      </c>
    </row>
    <row r="14">
      <c r="A14" s="3" t="inlineStr">
        <is>
          <t>10</t>
        </is>
      </c>
      <c r="B14" s="3" t="inlineStr">
        <is>
          <t>Operation Mirror säästud</t>
        </is>
      </c>
      <c r="C14" s="3" t="inlineStr">
        <is>
          <t>Bürokraatia efektiivsus</t>
        </is>
      </c>
      <c r="D14" s="9" t="n">
        <v>0.05</v>
      </c>
      <c r="E14" s="4">
        <f>D13*84000000</f>
        <v/>
      </c>
      <c r="F14" s="3" t="inlineStr">
        <is>
          <t>~€35M/a</t>
        </is>
      </c>
    </row>
    <row r="15">
      <c r="A15" s="5" t="inlineStr">
        <is>
          <t>11</t>
        </is>
      </c>
      <c r="B15" s="5" t="inlineStr">
        <is>
          <t>LEADER / EAS / CAP</t>
        </is>
      </c>
      <c r="C15" s="5" t="inlineStr">
        <is>
          <t>Grantid, ≠ börs</t>
        </is>
      </c>
      <c r="D15" s="8" t="n">
        <v>0.04</v>
      </c>
      <c r="E15" s="6">
        <f>D14*84000000</f>
        <v/>
      </c>
      <c r="F15" s="5" t="inlineStr">
        <is>
          <t>Olemasolev raha</t>
        </is>
      </c>
    </row>
    <row r="16">
      <c r="A16" s="3" t="inlineStr">
        <is>
          <t>12</t>
        </is>
      </c>
      <c r="B16" s="3" t="inlineStr">
        <is>
          <t>Urban farm + KOV aiad</t>
        </is>
      </c>
      <c r="C16" s="3" t="inlineStr">
        <is>
          <t>Kohalik kogukond</t>
        </is>
      </c>
      <c r="D16" s="9" t="n">
        <v>0.03</v>
      </c>
      <c r="E16" s="4">
        <f>D15*84000000</f>
        <v/>
      </c>
      <c r="F16" s="3" t="inlineStr">
        <is>
          <t>Linn + maa</t>
        </is>
      </c>
    </row>
    <row r="17">
      <c r="A17" s="5" t="inlineStr">
        <is>
          <t>13</t>
        </is>
      </c>
      <c r="B17" s="5" t="inlineStr">
        <is>
          <t>Teadus + patendid (EPM)</t>
        </is>
      </c>
      <c r="C17" s="5" t="inlineStr">
        <is>
          <t>Pikaajaline</t>
        </is>
      </c>
      <c r="D17" s="8" t="n">
        <v>0.04</v>
      </c>
      <c r="E17" s="6">
        <f>D16*84000000</f>
        <v/>
      </c>
      <c r="F17" s="5" t="inlineStr">
        <is>
          <t>Eksport tulevikus</t>
        </is>
      </c>
    </row>
    <row r="18">
      <c r="A18" s="3" t="inlineStr">
        <is>
          <t>14</t>
        </is>
      </c>
      <c r="B18" s="3" t="inlineStr">
        <is>
          <t>Hampcrete + ehitus</t>
        </is>
      </c>
      <c r="C18" s="3" t="inlineStr">
        <is>
          <t>Ehitustsükkel</t>
        </is>
      </c>
      <c r="D18" s="9" t="n">
        <v>0.03</v>
      </c>
      <c r="E18" s="4">
        <f>D17*84000000</f>
        <v/>
      </c>
      <c r="F18" s="3" t="inlineStr">
        <is>
          <t>Avalik sektor</t>
        </is>
      </c>
    </row>
    <row r="19">
      <c r="A19" s="5" t="inlineStr">
        <is>
          <t>15</t>
        </is>
      </c>
      <c r="B19" s="5" t="inlineStr">
        <is>
          <t>Kriisitoit / varud</t>
        </is>
      </c>
      <c r="C19" s="5" t="inlineStr">
        <is>
          <t>Kriis, defensiivne</t>
        </is>
      </c>
      <c r="D19" s="8" t="n">
        <v>0.03</v>
      </c>
      <c r="E19" s="6">
        <f>D18*84000000</f>
        <v/>
      </c>
      <c r="F19" s="5" t="inlineStr">
        <is>
          <t>2-nädala reegel</t>
        </is>
      </c>
    </row>
    <row r="20">
      <c r="A20" s="3" t="inlineStr">
        <is>
          <t>16</t>
        </is>
      </c>
      <c r="B20" s="3" t="inlineStr">
        <is>
          <t>Turism + kogemuskeskus</t>
        </is>
      </c>
      <c r="C20" s="3" t="inlineStr">
        <is>
          <t>Hooajaline</t>
        </is>
      </c>
      <c r="D20" s="9" t="n">
        <v>0.02</v>
      </c>
      <c r="E20" s="4">
        <f>D19*84000000</f>
        <v/>
      </c>
      <c r="F20" s="3" t="inlineStr">
        <is>
          <t>Farm visits</t>
        </is>
      </c>
    </row>
    <row r="21">
      <c r="A21" s="5" t="inlineStr">
        <is>
          <t>17</t>
        </is>
      </c>
      <c r="B21" s="5" t="inlineStr">
        <is>
          <t>IT + IoT kasvatus</t>
        </is>
      </c>
      <c r="C21" s="5" t="inlineStr">
        <is>
          <t>Tehnoloogia</t>
        </is>
      </c>
      <c r="D21" s="8" t="n">
        <v>0.03</v>
      </c>
      <c r="E21" s="6">
        <f>D20*84000000</f>
        <v/>
      </c>
      <c r="F21" s="5" t="inlineStr">
        <is>
          <t>Efektiivsus</t>
        </is>
      </c>
    </row>
    <row r="22">
      <c r="A22" s="3" t="inlineStr">
        <is>
          <t>18</t>
        </is>
      </c>
      <c r="B22" s="3" t="inlineStr">
        <is>
          <t>Basic income pilot</t>
        </is>
      </c>
      <c r="C22" s="3" t="inlineStr">
        <is>
          <t>Sotsiaal</t>
        </is>
      </c>
      <c r="D22" s="3" t="n">
        <v>0.06</v>
      </c>
      <c r="E22" s="3">
        <f>D21*84000000</f>
        <v/>
      </c>
      <c r="F22" s="3" t="inlineStr">
        <is>
          <t>10k × 200€/kuu</t>
        </is>
      </c>
    </row>
    <row r="23">
      <c r="A23" s="5" t="inlineStr"/>
      <c r="B23" s="5" t="inlineStr">
        <is>
          <t>KOKKU (18 voogu)</t>
        </is>
      </c>
      <c r="C23" s="5" t="inlineStr">
        <is>
          <t>Dalio siht: 15–20</t>
        </is>
      </c>
      <c r="D23" s="5">
        <f>SUM(D4:D21)</f>
        <v/>
      </c>
      <c r="E23" s="5">
        <f>SUM(E4:E21)</f>
        <v/>
      </c>
      <c r="F23" s="5" t="inlineStr">
        <is>
          <t>100% Inimeste Fond A5</t>
        </is>
      </c>
    </row>
    <row r="24">
      <c r="A24" s="3" t="inlineStr"/>
      <c r="B24" s="3" t="inlineStr"/>
      <c r="C24" s="3" t="inlineStr"/>
      <c r="D24" s="9" t="inlineStr"/>
      <c r="E24" s="4" t="inlineStr"/>
      <c r="F24" s="3" t="inlineStr"/>
    </row>
    <row r="25">
      <c r="A25" s="5" t="inlineStr">
        <is>
          <t>Macro</t>
        </is>
      </c>
      <c r="B25" s="5" t="inlineStr">
        <is>
          <t>4 kotti (vanem mudel)</t>
        </is>
      </c>
      <c r="C25" s="5" t="inlineStr">
        <is>
          <t>Endiselt kehtib</t>
        </is>
      </c>
      <c r="D25" s="8" t="inlineStr"/>
      <c r="E25" s="6" t="inlineStr"/>
      <c r="F25" s="5" t="inlineStr"/>
    </row>
    <row r="26">
      <c r="A26" s="3" t="inlineStr"/>
      <c r="B26" s="3" t="inlineStr">
        <is>
          <t>Päikesepargid + salvestus</t>
        </is>
      </c>
      <c r="C26" s="3" t="inlineStr"/>
      <c r="D26" s="9" t="n">
        <v>0.4</v>
      </c>
      <c r="E26" s="4">
        <f>84000000*0.4</f>
        <v/>
      </c>
      <c r="F26" s="3" t="inlineStr">
        <is>
          <t>Macro ≠ voogude detail</t>
        </is>
      </c>
    </row>
    <row r="27">
      <c r="A27" s="5" t="inlineStr"/>
      <c r="B27" s="5" t="inlineStr">
        <is>
          <t>Tööstus + robotid</t>
        </is>
      </c>
      <c r="C27" s="5" t="inlineStr"/>
      <c r="D27" s="8" t="n">
        <v>0.3</v>
      </c>
      <c r="E27" s="6">
        <f>84000000*0.3</f>
        <v/>
      </c>
      <c r="F27" s="5" t="inlineStr"/>
    </row>
    <row r="28">
      <c r="A28" t="inlineStr"/>
      <c r="B28" t="inlineStr">
        <is>
          <t>Basic income pilot</t>
        </is>
      </c>
      <c r="C28" t="inlineStr"/>
      <c r="D28" t="n">
        <v>0.2</v>
      </c>
      <c r="E28">
        <f>84000000*0.2</f>
        <v/>
      </c>
      <c r="F28" t="inlineStr"/>
    </row>
    <row r="29">
      <c r="A29" t="inlineStr"/>
      <c r="B29" t="inlineStr">
        <is>
          <t>Haridus + koolid + loodus</t>
        </is>
      </c>
      <c r="C29" t="inlineStr"/>
      <c r="D29" t="n">
        <v>0.1</v>
      </c>
      <c r="E29">
        <f>84000000*0.1</f>
        <v/>
      </c>
      <c r="F29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2026-08-16T19:59:33Z</dcterms:created>
  <dcterms:modified xsi:type="dcterms:W3CDTF">2026-08-16T19:59:33Z</dcterms:modified>
</cp:coreProperties>
</file>